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MethodList" sheetId="3" r:id="rId6"/>
    <sheet state="visible" name="Statistics" sheetId="4" r:id="rId7"/>
    <sheet state="visible" name="login" sheetId="5" r:id="rId8"/>
    <sheet state="visible" name="refreshToken" sheetId="6" r:id="rId9"/>
    <sheet state="visible" name="validateUserAccess" sheetId="7" r:id="rId10"/>
    <sheet state="visible" name="getUserInfo" sheetId="8" r:id="rId11"/>
    <sheet state="visible" name="getUserTenants" sheetId="9" r:id="rId12"/>
    <sheet state="visible" name="getUserRolesInTenant" sheetId="10" r:id="rId13"/>
    <sheet state="visible" name="getUserStatus" sheetId="11" r:id="rId14"/>
    <sheet state="visible" name="grantPermissionsToUser" sheetId="12" r:id="rId15"/>
    <sheet state="visible" name="denyPermissionsFromUser" sheetId="13" r:id="rId16"/>
    <sheet state="visible" name="revokeGrantsFromUser" sheetId="14" r:id="rId17"/>
    <sheet state="visible" name="revokeDeniesFromUser" sheetId="15" r:id="rId18"/>
    <sheet state="visible" name="getUserPermissionSummary" sheetId="16" r:id="rId19"/>
    <sheet state="visible" name="getActiveGrants" sheetId="17" r:id="rId20"/>
    <sheet state="visible" name="getActiveDenies" sheetId="18" r:id="rId21"/>
    <sheet state="visible" name="findAll" sheetId="19" r:id="rId22"/>
    <sheet state="visible" name="getBuildingById" sheetId="20" r:id="rId23"/>
    <sheet state="visible" name="createBuilding" sheetId="21" r:id="rId24"/>
    <sheet state="hidden" name="getBuildingDeletionRequest" sheetId="22" r:id="rId25"/>
    <sheet state="hidden" name="doBuildingDeletion" sheetId="23" r:id="rId26"/>
    <sheet state="visible" name="updateBuilding" sheetId="24" r:id="rId27"/>
    <sheet state="visible" name="getUnitById" sheetId="25" r:id="rId28"/>
    <sheet state="visible" name="getUnitsByTenantId" sheetId="26" r:id="rId29"/>
    <sheet state="visible" name="getUnitsByBuildingId" sheetId="27" r:id="rId30"/>
    <sheet state="visible" name="getUnitsByFloor" sheetId="28" r:id="rId31"/>
    <sheet state="visible" name="createUnit" sheetId="29" r:id="rId32"/>
    <sheet state="visible" name="updateUnit" sheetId="30" r:id="rId33"/>
    <sheet state="visible" name="deleteUnit" sheetId="31" r:id="rId34"/>
    <sheet state="visible" name="createVehicle" sheetId="32" r:id="rId35"/>
    <sheet state="visible" name="updateVehicle" sheetId="33" r:id="rId36"/>
    <sheet state="visible" name="deleteVehicle" sheetId="34" r:id="rId37"/>
    <sheet state="visible" name="getVehicleById" sheetId="35" r:id="rId38"/>
    <sheet state="visible" name="getVehiclesByUnitId" sheetId="36" r:id="rId39"/>
    <sheet state="visible" name="changeVehicleStatus" sheetId="37" r:id="rId40"/>
    <sheet state="visible" name="getInvoicesByResident" sheetId="38" r:id="rId41"/>
    <sheet state="visible" name="getUnpaidInvoicesByResident" sheetId="39" r:id="rId42"/>
  </sheets>
  <definedNames>
    <definedName localSheetId="3" name="Z_BE54E0AD_3725_4423_92D7_4F1C045BE1BC_.wvu.PrintArea">Statistics!$A:$I</definedName>
    <definedName name="ACTION">#REF!</definedName>
    <definedName localSheetId="3" name="Z_2C0D9096_8D85_462A_A9B5_0B488ADB4269_.wvu.PrintArea">Statistics!$A:$I</definedName>
    <definedName localSheetId="3" name="Z_6F1DCD5D_5DAC_4817_BF40_2B66F6F593E6_.wvu.PrintArea">Statistics!$A:$I</definedName>
    <definedName hidden="1" name="Google_Sheet_Link_1704248288_1962163267">Z_BE54E0AD_3725_4423_92D7_4F1C045BE1BC_.wvu.PrintArea</definedName>
    <definedName hidden="1" name="Google_Sheet_Link_303703382_1962163267">Z_2C0D9096_8D85_462A_A9B5_0B488ADB4269_.wvu.PrintArea</definedName>
    <definedName hidden="1" name="Google_Sheet_Link_672946348_1962163267">Z_6F1DCD5D_5DAC_4817_BF40_2B66F6F593E6_.wvu.PrintArea</definedName>
  </definedNames>
  <calcPr/>
  <extLst>
    <ext uri="GoogleSheetsCustomDataVersion2">
      <go:sheetsCustomData xmlns:go="http://customooxmlschemas.google.com/" r:id="rId43" roundtripDataChecksum="pI1dAR7OY8++hgLt/iGYWPwJ2D46F/orZDwgISmZNO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ID#AAABtRnk6-4
    (2025-09-30 02:11:04)
*A: Add
  M: Modify
  D: Delete</t>
      </text>
    </comment>
  </commentList>
  <extLst>
    <ext uri="GoogleSheetsCustomDataVersion2">
      <go:sheetsCustomData xmlns:go="http://customooxmlschemas.google.com/" r:id="rId1" roundtripDataSignature="AMtx7mgAsvH1DPWfhD3KSWdbnd7IuMP5Ig=="/>
    </ext>
  </extLst>
</comments>
</file>

<file path=xl/sharedStrings.xml><?xml version="1.0" encoding="utf-8"?>
<sst xmlns="http://schemas.openxmlformats.org/spreadsheetml/2006/main" count="3167" uniqueCount="290">
  <si>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</si>
  <si>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</si>
  <si>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</si>
  <si>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</si>
  <si>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</si>
  <si>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</si>
  <si>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</si>
  <si>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</si>
  <si>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</si>
  <si>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</si>
  <si>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</si>
  <si>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</si>
  <si>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</si>
  <si>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</si>
  <si>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</si>
  <si>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</si>
  <si>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</si>
  <si>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</si>
  <si>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</si>
  <si>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</si>
  <si>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</si>
  <si>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</si>
  <si>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</si>
  <si>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</si>
  <si>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</si>
  <si>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</si>
  <si>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</si>
  <si>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</si>
  <si>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</si>
  <si>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</si>
  <si>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</si>
  <si>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</si>
  <si>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</si>
  <si>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</si>
  <si>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</si>
  <si>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</si>
  <si>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</si>
  <si>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</si>
  <si>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</si>
  <si>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</si>
  <si>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</si>
  <si>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</si>
  <si>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</si>
  <si>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</si>
  <si>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</si>
  <si>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</si>
  <si>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QHome Apartment Management System</t>
  </si>
  <si>
    <t>Creator</t>
  </si>
  <si>
    <t>AnhMD</t>
  </si>
  <si>
    <t>Project Code</t>
  </si>
  <si>
    <t>QHome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</si>
  <si>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</si>
  <si>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</si>
  <si>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</si>
  <si>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</si>
  <si>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</si>
  <si>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</si>
  <si>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</si>
  <si>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</si>
  <si>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v1.0</t>
  </si>
  <si>
    <t>Create unit test report</t>
  </si>
  <si>
    <t>A</t>
  </si>
  <si>
    <t>Create unit test document</t>
  </si>
  <si>
    <t>findAll</t>
  </si>
  <si>
    <t>Add and execute unit test api</t>
  </si>
  <si>
    <t xml:space="preserve">getBuildingById	</t>
  </si>
  <si>
    <t xml:space="preserve">createBuilding	</t>
  </si>
  <si>
    <t xml:space="preserve">updateBuilding	</t>
  </si>
  <si>
    <t xml:space="preserve">getUnitById	</t>
  </si>
  <si>
    <t>getUnitsByBuildingId</t>
  </si>
  <si>
    <t>getUnitsByTenantId</t>
  </si>
  <si>
    <t>getUnitsByFloor</t>
  </si>
  <si>
    <t>createUnit</t>
  </si>
  <si>
    <t>updateUnit</t>
  </si>
  <si>
    <t>deleteUnit</t>
  </si>
  <si>
    <t>login</t>
  </si>
  <si>
    <t>refreshToken</t>
  </si>
  <si>
    <t>validateUserAccess</t>
  </si>
  <si>
    <t>getUserInfo</t>
  </si>
  <si>
    <t>getUserTenants</t>
  </si>
  <si>
    <t>getUserRolesInTenant</t>
  </si>
  <si>
    <t>getUserStatus</t>
  </si>
  <si>
    <t>grantPermissionsToUser</t>
  </si>
  <si>
    <t>denyPermissionsFromUser</t>
  </si>
  <si>
    <t>revokeGrantsFromUser</t>
  </si>
  <si>
    <t>revokeDeniesFromUser</t>
  </si>
  <si>
    <t>getUserPermissionSummary</t>
  </si>
  <si>
    <t>getActiveGrants</t>
  </si>
  <si>
    <t>getActiveDenies</t>
  </si>
  <si>
    <t>Method List</t>
  </si>
  <si>
    <t>Test Environment Setup Description</t>
  </si>
  <si>
    <t>1. Database
2. IntelliJ
3. Junit</t>
  </si>
  <si>
    <t>No</t>
  </si>
  <si>
    <t>Module Name</t>
  </si>
  <si>
    <t>Method Name</t>
  </si>
  <si>
    <t>Sheet Name</t>
  </si>
  <si>
    <t>AuthController</t>
  </si>
  <si>
    <t>UserController</t>
  </si>
  <si>
    <t>UserPermissionController</t>
  </si>
  <si>
    <t>BuildingController</t>
  </si>
  <si>
    <t>getBuildingById</t>
  </si>
  <si>
    <t>createBuilding</t>
  </si>
  <si>
    <t>updateBuilding</t>
  </si>
  <si>
    <t>UnitController</t>
  </si>
  <si>
    <t>getUnitById</t>
  </si>
  <si>
    <t>VehicleController</t>
  </si>
  <si>
    <t>createVehicle</t>
  </si>
  <si>
    <t>updateVehicle</t>
  </si>
  <si>
    <t>deleteVehicle</t>
  </si>
  <si>
    <t>getVehicleById</t>
  </si>
  <si>
    <t>getVehiclesByUnitId</t>
  </si>
  <si>
    <t>changeVehicleStatus</t>
  </si>
  <si>
    <t>InvoiceController</t>
  </si>
  <si>
    <t>getInvoicesByResident</t>
  </si>
  <si>
    <t>getUnpaidInvoicesByResident</t>
  </si>
  <si>
    <t>getInvoiceById</t>
  </si>
  <si>
    <t>getInvoicesByUnit</t>
  </si>
  <si>
    <t>getInvoicesByServiceCode</t>
  </si>
  <si>
    <t>getInvoicesByResidentAndServiceCode</t>
  </si>
  <si>
    <t>createInvoice</t>
  </si>
  <si>
    <t>updateInvoiceStatus</t>
  </si>
  <si>
    <t>PaymentController</t>
  </si>
  <si>
    <t>createPayment</t>
  </si>
  <si>
    <t>getPaymentsByResident</t>
  </si>
  <si>
    <t>getPaymentById</t>
  </si>
  <si>
    <t>BillingCycleController</t>
  </si>
  <si>
    <t>findByTenantIdAndYear</t>
  </si>
  <si>
    <t>getBillingCycle</t>
  </si>
  <si>
    <t>createBillingCycle</t>
  </si>
  <si>
    <t>updateBillingCycleStatus</t>
  </si>
  <si>
    <t>UNIT TEST REPORT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</si>
  <si>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</si>
  <si>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</si>
  <si>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</si>
  <si>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</si>
  <si>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</si>
  <si>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</si>
  <si>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</si>
  <si>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</si>
  <si>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</si>
  <si>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doBuildingDeletion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</si>
  <si>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</si>
  <si>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</si>
  <si>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</si>
  <si>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</si>
  <si>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</si>
  <si>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</si>
  <si>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</si>
  <si>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Method</t>
  </si>
  <si>
    <t>Created By</t>
  </si>
  <si>
    <t>Executed By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</si>
  <si>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</si>
  <si>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</si>
  <si>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</si>
  <si>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</si>
  <si>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</si>
  <si>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</si>
  <si>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</si>
  <si>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</si>
  <si>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</si>
  <si>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</si>
  <si>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</si>
  <si>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</si>
  <si>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</si>
  <si>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Condition</t>
  </si>
  <si>
    <t>Precondition</t>
  </si>
  <si>
    <t>Can connect with server</t>
  </si>
  <si>
    <t>O</t>
  </si>
  <si>
    <t>username</t>
  </si>
  <si>
    <t>username_test</t>
  </si>
  <si>
    <t>null</t>
  </si>
  <si>
    <t>ab</t>
  </si>
  <si>
    <t>ABCDEFGHIJKLMNOPQRSTUVWXYZ0123456789abcdefg</t>
  </si>
  <si>
    <t>username_not_found</t>
  </si>
  <si>
    <t>username_inactive</t>
  </si>
  <si>
    <t>password</t>
  </si>
  <si>
    <t>password_pass</t>
  </si>
  <si>
    <t>pass</t>
  </si>
  <si>
    <t>0123456789ABCDEFGHIJKLMNOPQRSTUVWXYZabcdefghijklmnopqrstuvwxyz!@#$%^&amp;*()_+-=[]{}|;':",./&lt;&gt;?01234</t>
  </si>
  <si>
    <t>password_fail</t>
  </si>
  <si>
    <t>tenantId</t>
  </si>
  <si>
    <t>a1b2c3d4-e5f6-7890-1234-567890abcdef</t>
  </si>
  <si>
    <t>7e4a1b0c-9d6f-4e3a-8b2c-5f0d91e6b37a</t>
  </si>
  <si>
    <t>Confirm</t>
  </si>
  <si>
    <t>Return</t>
  </si>
  <si>
    <t>Exception</t>
  </si>
  <si>
    <t>IllegalArgumentException</t>
  </si>
  <si>
    <t>Log message</t>
  </si>
  <si>
    <t>"Invalid username"</t>
  </si>
  <si>
    <t>"Invalid password"</t>
  </si>
  <si>
    <t>"Username must be between 3 and 50 characters"</t>
  </si>
  <si>
    <t>"User not found: username_not_found"</t>
  </si>
  <si>
    <t>"User account is disabled: username_inactive"</t>
  </si>
  <si>
    <t>"Password must be between 6 and 100 characters"</t>
  </si>
  <si>
    <t>"Password mismatch for user: username_test"</t>
  </si>
  <si>
    <t>"Tenant not found with id: 7e4a1b0c-9d6f-4e3a-8b2c-5f0d91e6b37a"</t>
  </si>
  <si>
    <t>Result</t>
  </si>
  <si>
    <t>Type (N: Normal, A: Abnormal, B: Boundary)</t>
  </si>
  <si>
    <t>Passed/Failed</t>
  </si>
  <si>
    <t>P</t>
  </si>
  <si>
    <t>Executed Date</t>
  </si>
  <si>
    <t>Defect ID</t>
  </si>
  <si>
    <t>Code Module</t>
  </si>
  <si>
    <t>userId</t>
  </si>
  <si>
    <t>e4b2a1c7-9f3d-4d8a-b6e1-2f5c8d9a1e3b</t>
  </si>
  <si>
    <t>7a9f3c5d-1b4e-4f6a-9c2d-8e5f1a7b3c9d</t>
  </si>
  <si>
    <t>"User not found with id: 7a9f3c5d-1b4e-4f6a-9c2d-8e5f1a7b3c9d"</t>
  </si>
  <si>
    <t>auth</t>
  </si>
  <si>
    <t>Admin role</t>
  </si>
  <si>
    <t>Supporter role</t>
  </si>
  <si>
    <t>permissionCodes</t>
  </si>
  <si>
    <t>["permission_code"]</t>
  </si>
  <si>
    <t>[]</t>
  </si>
  <si>
    <t>["permission_code", null]</t>
  </si>
  <si>
    <t>["permission_code", ""]</t>
  </si>
  <si>
    <t>expiresAt</t>
  </si>
  <si>
    <t>2025-11-01T10:00:00Z</t>
  </si>
  <si>
    <t>""</t>
  </si>
  <si>
    <t>2024-11-05T01:21:00Z</t>
  </si>
  <si>
    <t>reason</t>
  </si>
  <si>
    <t>"Reason"</t>
  </si>
  <si>
    <t>AccessDeniedException</t>
  </si>
  <si>
    <t>"Access denied"</t>
  </si>
  <si>
    <t>"Invalid permission code"</t>
  </si>
  <si>
    <t>"Invalid expires at"</t>
  </si>
  <si>
    <t>"ExpiresAt cannot in the past."</t>
  </si>
  <si>
    <t>"Invalid tenant ID"</t>
  </si>
  <si>
    <t>buildingId</t>
  </si>
  <si>
    <t>0f45a2c9-d3b6-4e81-a7f0-2b1e6d9c8a75</t>
  </si>
  <si>
    <t>4b9d3e8f-a1c2-5d67-b8e9-0f1a2b3c4d5e</t>
  </si>
  <si>
    <t>"Invalid building ID"</t>
  </si>
  <si>
    <t>"Building not found with id: 4b9d3e8f-a1c2-5d67-b8e9-0f1a2b3c4d5e"</t>
  </si>
  <si>
    <t>name</t>
  </si>
  <si>
    <t>"Tòa A"</t>
  </si>
  <si>
    <t>address</t>
  </si>
  <si>
    <t>"Số 10 Phạm Văn Bạch"</t>
  </si>
  <si>
    <t>"Invalid building name"</t>
  </si>
  <si>
    <t>getBuildingDeletionRequest</t>
  </si>
  <si>
    <t>requestId</t>
  </si>
  <si>
    <t>a1b2c3d4e5f678901234567890abcdef</t>
  </si>
  <si>
    <t>"Invalid request ID"</t>
  </si>
  <si>
    <t>"Request not found"</t>
  </si>
  <si>
    <t>Building with id 8c7d6e5f-b4a3-2c1d-0e9f-8a7b6c5d4e3f
has not created a delete request yet</t>
  </si>
  <si>
    <t>Manager role</t>
  </si>
  <si>
    <t>8c7d6e5f-b4a3-2c1d-0e9f-8a7b6c5d4e3f</t>
  </si>
  <si>
    <t>"Building not found with id: 
4b9d3e8f-a1c2-5d67-b8e9-0f1a2b3c4d5e"</t>
  </si>
  <si>
    <t>"Building must be in DELETING status to perform deletion tasks"</t>
  </si>
  <si>
    <t>id</t>
  </si>
  <si>
    <t>6a5b4c3d-2e1f-0a9b-8c7d-6e5f4a3b2c1d</t>
  </si>
  <si>
    <t>9f8e7d6c-5b4a-3c2d-1e0f-9d8c7b6a5f4e</t>
  </si>
  <si>
    <t>Building has 4 floors</t>
  </si>
  <si>
    <t>floor</t>
  </si>
  <si>
    <t>"Invalid floor"</t>
  </si>
  <si>
    <t>"Building not found with id:
4b9d3e8f-a1c2-5d67-b8e9-0f1a2b3c4d5e"</t>
  </si>
  <si>
    <t>"Apartment cannot be on the 0th floor."</t>
  </si>
  <si>
    <t>"Apartment floor must not exceed the number of floors of building."</t>
  </si>
  <si>
    <t>UTCID12</t>
  </si>
  <si>
    <t>UTCID13</t>
  </si>
  <si>
    <t>UTCID14</t>
  </si>
  <si>
    <t>code</t>
  </si>
  <si>
    <t>"A01"</t>
  </si>
  <si>
    <t>"g7@Hk2!PzQ9$LmN4tVr6wXyBc3Jp#a0O&amp;dEf5GiU8sYuK%"</t>
  </si>
  <si>
    <t>areaM2</t>
  </si>
  <si>
    <t>bedrooms</t>
  </si>
  <si>
    <t>"Invalid code"</t>
  </si>
  <si>
    <t>"Tenant not found with id:
7e4a1b0c-9d6f-4e3a-8b2c-5f0d91e6b37a"</t>
  </si>
  <si>
    <t>"Code must not exceed 50 characters"</t>
  </si>
  <si>
    <t>"Floor must be positive"</t>
  </si>
  <si>
    <t>"Area must be positive"</t>
  </si>
  <si>
    <t>"Bedrooms must be positive"</t>
  </si>
  <si>
    <t>"Invalid id"</t>
  </si>
  <si>
    <t>"Unit not found with id:
9f8e7d6c-5b4a-3c2d-1e0f-9d8c7b6a5f4e"</t>
  </si>
  <si>
    <t>unitId</t>
  </si>
  <si>
    <t>plateNo</t>
  </si>
  <si>
    <t>"Valid plate no"</t>
  </si>
  <si>
    <t>plateNo with 21 characters</t>
  </si>
  <si>
    <t>kind</t>
  </si>
  <si>
    <t>CAR</t>
  </si>
  <si>
    <t>invalid_kind</t>
  </si>
  <si>
    <t>color</t>
  </si>
  <si>
    <t>"valid color"</t>
  </si>
  <si>
    <t>color with 51 characters</t>
  </si>
  <si>
    <t>"Plate number is required"</t>
  </si>
  <si>
    <t>"Plate number must not exceed 20 characters"</t>
  </si>
  <si>
    <t>"The kind is invalid"</t>
  </si>
  <si>
    <t>"Color must not exceed 50 characters"</t>
  </si>
  <si>
    <t>status</t>
  </si>
  <si>
    <t>"The status iss required"</t>
  </si>
  <si>
    <t>residentId</t>
  </si>
  <si>
    <t>"Resident not found with id: 7e4a1b0c-9d6f-4e3a-8b2c-5f0d91e6b37a"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</si>
</sst>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\-mmm\-yy"/>
    <numFmt numFmtId="166" formatCode="D/M/YYYY"/>
    <numFmt numFmtId="167" formatCode="mm/dd"/>
  </numFmts>
  <fonts count="40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FF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b/>
      <u/>
      <sz val="10.0"/>
      <color rgb="FFFFFFFF"/>
      <name val="Tahoma"/>
    </font>
    <font>
      <u/>
      <sz val="10.0"/>
      <color rgb="FF0000FF"/>
      <name val="Tahoma"/>
    </font>
    <font>
      <color theme="1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u/>
      <sz val="11.0"/>
      <color rgb="FF0000FF"/>
      <name val="Tahoma"/>
    </font>
    <font>
      <sz val="10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color theme="1"/>
      <name val="Arial"/>
    </font>
    <font>
      <b/>
      <sz val="8.0"/>
      <color rgb="FFFFFFFF"/>
      <name val="Tahoma"/>
    </font>
    <font>
      <color theme="1"/>
      <name val="MS PGothic"/>
    </font>
    <font>
      <sz val="11.0"/>
      <color theme="1"/>
      <name val="MS PGothic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0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434343"/>
      </left>
      <right style="hair">
        <color rgb="FF434343"/>
      </right>
      <top style="hair">
        <color rgb="FF000000"/>
      </top>
      <bottom style="hair">
        <color rgb="FF434343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434343"/>
      </left>
      <right style="hair">
        <color rgb="FF434343"/>
      </right>
      <bottom style="hair">
        <color rgb="FF434343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/>
      <top/>
      <bottom/>
    </border>
    <border>
      <left style="thin">
        <color rgb="FF000000"/>
      </left>
      <right style="hair">
        <color rgb="FF434343"/>
      </right>
      <top style="hair">
        <color rgb="FF000000"/>
      </top>
      <bottom style="hair">
        <color rgb="FF434343"/>
      </bottom>
    </border>
    <border>
      <left style="hair">
        <color rgb="FF434343"/>
      </left>
      <right style="thin">
        <color rgb="FF434343"/>
      </right>
      <top style="hair">
        <color rgb="FF000000"/>
      </top>
      <bottom style="hair">
        <color rgb="FF434343"/>
      </bottom>
    </border>
    <border>
      <left style="hair">
        <color rgb="FF434343"/>
      </left>
      <right style="thin">
        <color rgb="FF434343"/>
      </right>
      <top style="hair">
        <color rgb="FF434343"/>
      </top>
      <bottom style="hair">
        <color rgb="FF434343"/>
      </bottom>
    </border>
    <border>
      <left style="hair">
        <color rgb="FF434343"/>
      </left>
      <right style="thin">
        <color rgb="FF434343"/>
      </right>
      <top style="hair">
        <color rgb="FF434343"/>
      </top>
    </border>
    <border>
      <left/>
      <right style="hair">
        <color rgb="FF434343"/>
      </right>
      <top style="hair">
        <color rgb="FF434343"/>
      </top>
    </border>
    <border>
      <left style="hair">
        <color rgb="FF434343"/>
      </left>
      <right style="hair">
        <color rgb="FF434343"/>
      </right>
      <top style="hair">
        <color rgb="FF434343"/>
      </top>
    </border>
    <border>
      <left/>
      <right style="hair">
        <color rgb="FF434343"/>
      </right>
      <top style="hair">
        <color rgb="FF434343"/>
      </top>
      <bottom style="thin">
        <color rgb="FF434343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thin">
        <color rgb="FF434343"/>
      </bottom>
    </border>
    <border>
      <left style="hair">
        <color rgb="FF434343"/>
      </left>
      <right style="thin">
        <color rgb="FF434343"/>
      </right>
      <top style="hair">
        <color rgb="FF434343"/>
      </top>
      <bottom style="thin">
        <color rgb="FF434343"/>
      </bottom>
    </border>
    <border>
      <left/>
      <right/>
      <bottom/>
    </border>
    <border>
      <left/>
      <top/>
      <bottom/>
    </border>
    <border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434343"/>
      </right>
      <top style="thin">
        <color rgb="FF000000"/>
      </top>
      <bottom style="hair">
        <color rgb="FF000000"/>
      </bottom>
    </border>
    <border>
      <left/>
      <right style="hair">
        <color rgb="FF434343"/>
      </right>
      <top style="hair">
        <color rgb="FF000000"/>
      </top>
      <bottom style="hair">
        <color rgb="FF434343"/>
      </bottom>
    </border>
    <border>
      <left style="hair">
        <color rgb="FF434343"/>
      </left>
      <right style="hair">
        <color rgb="FF000000"/>
      </right>
      <top style="hair">
        <color rgb="FF000000"/>
      </top>
      <bottom style="hair">
        <color rgb="FF434343"/>
      </bottom>
    </border>
    <border>
      <left style="hair">
        <color rgb="FF434343"/>
      </left>
      <right style="hair">
        <color rgb="FF000000"/>
      </right>
      <top style="hair">
        <color rgb="FF434343"/>
      </top>
      <bottom style="hair">
        <color rgb="FF434343"/>
      </bottom>
    </border>
    <border>
      <left/>
      <right style="hair">
        <color rgb="FF434343"/>
      </right>
      <top style="hair">
        <color rgb="FF434343"/>
      </top>
      <bottom style="hair">
        <color rgb="FF000000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000000"/>
      </bottom>
    </border>
    <border>
      <left/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434343"/>
      </right>
      <top style="hair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medium">
        <color rgb="FF434343"/>
      </bottom>
    </border>
    <border>
      <right style="thin">
        <color rgb="FF434343"/>
      </right>
      <top style="thin">
        <color rgb="FF434343"/>
      </top>
      <bottom style="medium">
        <color rgb="FF434343"/>
      </bottom>
    </border>
    <border>
      <top style="thin">
        <color rgb="FF434343"/>
      </top>
      <bottom style="medium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434343"/>
      </bottom>
    </border>
    <border>
      <bottom style="thin">
        <color rgb="FFFFFFFF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434343"/>
      </left>
      <right style="double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double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double">
        <color rgb="FF000000"/>
      </bottom>
    </border>
    <border>
      <top style="thin">
        <color rgb="FF434343"/>
      </top>
      <bottom style="double">
        <color rgb="FF000000"/>
      </bottom>
    </border>
    <border>
      <right style="thin">
        <color rgb="FF434343"/>
      </right>
      <top style="thin">
        <color rgb="FF434343"/>
      </top>
      <bottom style="double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434343"/>
      </left>
      <right style="double">
        <color rgb="FF434343"/>
      </right>
      <top style="thin">
        <color rgb="FF434343"/>
      </top>
      <bottom style="double">
        <color rgb="FF000000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right style="thin">
        <color rgb="FF434343"/>
      </right>
    </border>
    <border>
      <left style="thin">
        <color rgb="FF000000"/>
      </left>
      <right style="double">
        <color rgb="FF43434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434343"/>
      </left>
      <top style="thin">
        <color rgb="FF434343"/>
      </top>
      <bottom style="double">
        <color rgb="FF434343"/>
      </bottom>
    </border>
    <border>
      <top style="thin">
        <color rgb="FF434343"/>
      </top>
      <bottom style="double">
        <color rgb="FF434343"/>
      </bottom>
    </border>
    <border>
      <right style="thin">
        <color rgb="FF434343"/>
      </right>
      <top style="thin">
        <color rgb="FF434343"/>
      </top>
      <bottom style="double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double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434343"/>
      </bottom>
    </border>
    <border>
      <left style="thin">
        <color rgb="FF434343"/>
      </left>
      <right style="double">
        <color rgb="FF434343"/>
      </right>
      <top style="thin">
        <color rgb="FF434343"/>
      </top>
      <bottom style="double">
        <color rgb="FF434343"/>
      </bottom>
    </border>
    <border>
      <top style="thin">
        <color rgb="FFFFFFFF"/>
      </top>
    </border>
    <border>
      <left style="thin">
        <color rgb="FF000000"/>
      </left>
      <right style="double">
        <color rgb="FF434343"/>
      </right>
      <bottom style="thin">
        <color rgb="FF000000"/>
      </bottom>
    </border>
    <border>
      <left style="thin">
        <color rgb="FF434343"/>
      </left>
      <bottom style="double">
        <color rgb="FF434343"/>
      </bottom>
    </border>
    <border>
      <bottom style="double">
        <color rgb="FF434343"/>
      </bottom>
    </border>
    <border>
      <right style="thin">
        <color rgb="FF434343"/>
      </right>
      <bottom style="double">
        <color rgb="FF434343"/>
      </bottom>
    </border>
    <border>
      <left style="thin">
        <color rgb="FF434343"/>
      </left>
      <right style="thin">
        <color rgb="FF434343"/>
      </right>
      <bottom style="double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double">
        <color rgb="FF434343"/>
      </right>
      <top style="thin">
        <color rgb="FF434343"/>
      </top>
    </border>
    <border>
      <right style="double">
        <color rgb="FF434343"/>
      </right>
    </border>
    <border>
      <left style="thin">
        <color rgb="FF000000"/>
      </left>
      <right style="double">
        <color rgb="FF434343"/>
      </right>
      <top style="thin">
        <color rgb="FF000000"/>
      </top>
    </border>
    <border>
      <left style="thin">
        <color rgb="FF000000"/>
      </left>
      <right style="double">
        <color rgb="FF434343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434343"/>
      </right>
      <top style="thin">
        <color rgb="FF000000"/>
      </top>
      <bottom style="thin">
        <color rgb="FF434343"/>
      </bottom>
    </border>
    <border>
      <left style="thin">
        <color rgb="FF000000"/>
      </left>
      <right style="double">
        <color rgb="FF434343"/>
      </right>
      <top style="thin">
        <color rgb="FF000000"/>
      </top>
      <bottom style="double">
        <color rgb="FF434343"/>
      </bottom>
    </border>
    <border>
      <left style="thin">
        <color rgb="FF434343"/>
      </left>
      <right style="thin">
        <color rgb="FF000000"/>
      </right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thin">
        <color rgb="FF434343"/>
      </left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horizontal="left"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6" fillId="4" fontId="15" numFmtId="165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9" fillId="0" fontId="12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0"/>
    </xf>
    <xf borderId="10" fillId="0" fontId="7" numFmtId="164" xfId="0" applyAlignment="1" applyBorder="1" applyFont="1" applyNumberFormat="1">
      <alignment horizontal="center" shrinkToFit="0" vertical="top" wrapText="1"/>
    </xf>
    <xf borderId="11" fillId="0" fontId="5" numFmtId="49" xfId="0" applyAlignment="1" applyBorder="1" applyFont="1" applyNumberFormat="1">
      <alignment horizontal="center" shrinkToFit="0" vertical="top" wrapText="0"/>
    </xf>
    <xf borderId="11" fillId="0" fontId="5" numFmtId="0" xfId="0" applyAlignment="1" applyBorder="1" applyFont="1">
      <alignment horizontal="left" shrinkToFit="0" vertical="top" wrapText="0"/>
    </xf>
    <xf borderId="11" fillId="0" fontId="5" numFmtId="0" xfId="0" applyAlignment="1" applyBorder="1" applyFont="1">
      <alignment horizontal="center" shrinkToFit="0" vertical="top" wrapText="0"/>
    </xf>
    <xf borderId="12" fillId="0" fontId="5" numFmtId="0" xfId="0" applyAlignment="1" applyBorder="1" applyFont="1">
      <alignment horizontal="left" shrinkToFit="0" vertical="top" wrapText="0"/>
    </xf>
    <xf borderId="13" fillId="0" fontId="12" numFmtId="0" xfId="0" applyAlignment="1" applyBorder="1" applyFont="1">
      <alignment vertical="center"/>
    </xf>
    <xf borderId="0" fillId="0" fontId="5" numFmtId="0" xfId="0" applyAlignment="1" applyFont="1">
      <alignment shrinkToFit="0" vertical="top" wrapText="0"/>
    </xf>
    <xf borderId="14" fillId="3" fontId="5" numFmtId="49" xfId="0" applyAlignment="1" applyBorder="1" applyFont="1" applyNumberFormat="1">
      <alignment horizontal="left" readingOrder="0" shrinkToFit="0" vertical="center" wrapText="1"/>
    </xf>
    <xf borderId="12" fillId="0" fontId="5" numFmtId="0" xfId="0" applyAlignment="1" applyBorder="1" applyFont="1">
      <alignment readingOrder="0" shrinkToFit="0" vertical="top" wrapText="0"/>
    </xf>
    <xf borderId="15" fillId="3" fontId="5" numFmtId="49" xfId="0" applyAlignment="1" applyBorder="1" applyFont="1" applyNumberFormat="1">
      <alignment horizontal="left" readingOrder="0" shrinkToFit="0" vertical="center" wrapText="1"/>
    </xf>
    <xf borderId="10" fillId="0" fontId="7" numFmtId="164" xfId="0" applyAlignment="1" applyBorder="1" applyFont="1" applyNumberFormat="1">
      <alignment horizontal="center" readingOrder="0" shrinkToFit="0" vertical="top" wrapText="1"/>
    </xf>
    <xf borderId="15" fillId="0" fontId="5" numFmtId="0" xfId="0" applyAlignment="1" applyBorder="1" applyFont="1">
      <alignment readingOrder="0" vertical="center"/>
    </xf>
    <xf borderId="15" fillId="3" fontId="5" numFmtId="0" xfId="0" applyAlignment="1" applyBorder="1" applyFont="1">
      <alignment horizontal="left" readingOrder="0" shrinkToFit="0" vertical="bottom" wrapText="1"/>
    </xf>
    <xf borderId="16" fillId="3" fontId="5" numFmtId="49" xfId="0" applyAlignment="1" applyBorder="1" applyFont="1" applyNumberFormat="1">
      <alignment horizontal="left" readingOrder="0" shrinkToFit="0" vertical="center" wrapText="1"/>
    </xf>
    <xf borderId="17" fillId="0" fontId="5" numFmtId="165" xfId="0" applyAlignment="1" applyBorder="1" applyFont="1" applyNumberFormat="1">
      <alignment shrinkToFit="0" vertical="top" wrapText="0"/>
    </xf>
    <xf borderId="18" fillId="0" fontId="5" numFmtId="49" xfId="0" applyAlignment="1" applyBorder="1" applyFont="1" applyNumberFormat="1">
      <alignment shrinkToFit="0" vertical="top" wrapText="0"/>
    </xf>
    <xf borderId="18" fillId="0" fontId="5" numFmtId="0" xfId="0" applyAlignment="1" applyBorder="1" applyFont="1">
      <alignment shrinkToFit="0" vertical="top" wrapText="0"/>
    </xf>
    <xf borderId="19" fillId="0" fontId="5" numFmtId="0" xfId="0" applyAlignment="1" applyBorder="1" applyFont="1">
      <alignment shrinkToFit="0" vertical="top" wrapText="0"/>
    </xf>
    <xf borderId="20" fillId="0" fontId="12" numFmtId="0" xfId="0" applyAlignment="1" applyBorder="1" applyFont="1">
      <alignment vertical="center"/>
    </xf>
    <xf borderId="21" fillId="0" fontId="5" numFmtId="165" xfId="0" applyAlignment="1" applyBorder="1" applyFont="1" applyNumberFormat="1">
      <alignment shrinkToFit="0" vertical="top" wrapText="0"/>
    </xf>
    <xf borderId="22" fillId="0" fontId="5" numFmtId="49" xfId="0" applyAlignment="1" applyBorder="1" applyFont="1" applyNumberFormat="1">
      <alignment shrinkToFit="0" vertical="top" wrapText="0"/>
    </xf>
    <xf borderId="22" fillId="0" fontId="5" numFmtId="0" xfId="0" applyAlignment="1" applyBorder="1" applyFont="1">
      <alignment shrinkToFit="0" vertical="top" wrapText="0"/>
    </xf>
    <xf borderId="23" fillId="0" fontId="5" numFmtId="0" xfId="0" applyAlignment="1" applyBorder="1" applyFont="1">
      <alignment shrinkToFit="0" vertical="top" wrapText="0"/>
    </xf>
    <xf borderId="24" fillId="0" fontId="12" numFmtId="0" xfId="0" applyAlignment="1" applyBorder="1" applyFont="1">
      <alignment vertical="center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horizontal="left" shrinkToFit="0" vertical="bottom" wrapText="0"/>
    </xf>
    <xf borderId="1" fillId="3" fontId="16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25" fillId="5" fontId="15" numFmtId="0" xfId="0" applyAlignment="1" applyBorder="1" applyFont="1">
      <alignment horizontal="center" shrinkToFit="0" vertical="center" wrapText="0"/>
    </xf>
    <xf borderId="26" fillId="3" fontId="9" numFmtId="0" xfId="0" applyAlignment="1" applyBorder="1" applyFont="1">
      <alignment horizontal="center" shrinkToFit="0" vertical="bottom" wrapText="0"/>
    </xf>
    <xf borderId="1" fillId="3" fontId="9" numFmtId="0" xfId="0" applyAlignment="1" applyBorder="1" applyFont="1">
      <alignment horizontal="center" shrinkToFit="0" vertical="bottom" wrapText="0"/>
    </xf>
    <xf borderId="27" fillId="3" fontId="5" numFmtId="1" xfId="0" applyAlignment="1" applyBorder="1" applyFont="1" applyNumberFormat="1">
      <alignment horizontal="center" shrinkToFit="0" vertical="center" wrapText="0"/>
    </xf>
    <xf borderId="15" fillId="3" fontId="5" numFmtId="1" xfId="0" applyAlignment="1" applyBorder="1" applyFont="1" applyNumberFormat="1">
      <alignment horizontal="left" readingOrder="0" shrinkToFit="0" vertical="center" wrapText="0"/>
    </xf>
    <xf borderId="14" fillId="3" fontId="17" numFmtId="49" xfId="0" applyAlignment="1" applyBorder="1" applyFont="1" applyNumberFormat="1">
      <alignment horizontal="left" readingOrder="0" shrinkToFit="0" vertical="center" wrapText="1"/>
    </xf>
    <xf borderId="26" fillId="3" fontId="5" numFmtId="0" xfId="0" applyAlignment="1" applyBorder="1" applyFont="1">
      <alignment shrinkToFit="0" vertical="bottom" wrapText="0"/>
    </xf>
    <xf borderId="15" fillId="3" fontId="18" numFmtId="49" xfId="0" applyAlignment="1" applyBorder="1" applyFont="1" applyNumberFormat="1">
      <alignment horizontal="left" readingOrder="0" shrinkToFit="0" vertical="center" wrapText="1"/>
    </xf>
    <xf borderId="16" fillId="3" fontId="19" numFmtId="49" xfId="0" applyAlignment="1" applyBorder="1" applyFont="1" applyNumberFormat="1">
      <alignment horizontal="left" readingOrder="0" shrinkToFit="0" vertical="center" wrapText="1"/>
    </xf>
    <xf borderId="14" fillId="3" fontId="5" numFmtId="1" xfId="0" applyAlignment="1" applyBorder="1" applyFont="1" applyNumberFormat="1">
      <alignment horizontal="left" shrinkToFit="0" vertical="center" wrapText="0"/>
    </xf>
    <xf borderId="14" fillId="3" fontId="5" numFmtId="49" xfId="0" applyAlignment="1" applyBorder="1" applyFont="1" applyNumberFormat="1">
      <alignment horizontal="left" shrinkToFit="0" vertical="center" wrapText="1"/>
    </xf>
    <xf borderId="28" fillId="3" fontId="20" numFmtId="49" xfId="0" applyAlignment="1" applyBorder="1" applyFont="1" applyNumberFormat="1">
      <alignment horizontal="left" shrinkToFit="0" vertical="center" wrapText="1"/>
    </xf>
    <xf borderId="15" fillId="3" fontId="5" numFmtId="1" xfId="0" applyAlignment="1" applyBorder="1" applyFont="1" applyNumberFormat="1">
      <alignment horizontal="left" shrinkToFit="0" vertical="center" wrapText="0"/>
    </xf>
    <xf borderId="15" fillId="3" fontId="5" numFmtId="49" xfId="0" applyAlignment="1" applyBorder="1" applyFont="1" applyNumberFormat="1">
      <alignment horizontal="left" shrinkToFit="0" vertical="center" wrapText="1"/>
    </xf>
    <xf borderId="29" fillId="3" fontId="21" numFmtId="49" xfId="0" applyAlignment="1" applyBorder="1" applyFont="1" applyNumberFormat="1">
      <alignment horizontal="left" shrinkToFit="0" vertical="center" wrapText="1"/>
    </xf>
    <xf borderId="15" fillId="0" fontId="5" numFmtId="0" xfId="0" applyAlignment="1" applyBorder="1" applyFont="1">
      <alignment horizontal="left" vertical="center"/>
    </xf>
    <xf borderId="29" fillId="0" fontId="2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3" fontId="5" numFmtId="0" xfId="0" applyAlignment="1" applyFont="1">
      <alignment shrinkToFit="0" vertical="bottom" wrapText="0"/>
    </xf>
    <xf borderId="15" fillId="3" fontId="5" numFmtId="0" xfId="0" applyAlignment="1" applyBorder="1" applyFont="1">
      <alignment horizontal="left" shrinkToFit="0" vertical="bottom" wrapText="1"/>
    </xf>
    <xf borderId="29" fillId="3" fontId="23" numFmtId="0" xfId="0" applyAlignment="1" applyBorder="1" applyFont="1">
      <alignment horizontal="left" shrinkToFit="0" vertical="bottom" wrapText="1"/>
    </xf>
    <xf borderId="15" fillId="3" fontId="5" numFmtId="1" xfId="0" applyAlignment="1" applyBorder="1" applyFont="1" applyNumberFormat="1">
      <alignment horizontal="left" vertical="center"/>
    </xf>
    <xf borderId="15" fillId="3" fontId="24" numFmtId="0" xfId="0" applyAlignment="1" applyBorder="1" applyFont="1">
      <alignment horizontal="left" readingOrder="0" shrinkToFit="0" vertical="bottom" wrapText="1"/>
    </xf>
    <xf borderId="29" fillId="3" fontId="5" numFmtId="0" xfId="0" applyAlignment="1" applyBorder="1" applyFont="1">
      <alignment horizontal="left" shrinkToFit="0" vertical="bottom" wrapText="1"/>
    </xf>
    <xf borderId="29" fillId="3" fontId="5" numFmtId="0" xfId="0" applyAlignment="1" applyBorder="1" applyFont="1">
      <alignment horizontal="left" shrinkToFit="0" vertical="bottom" wrapText="0"/>
    </xf>
    <xf borderId="30" fillId="3" fontId="5" numFmtId="0" xfId="0" applyAlignment="1" applyBorder="1" applyFont="1">
      <alignment horizontal="left" shrinkToFit="0" vertical="bottom" wrapText="0"/>
    </xf>
    <xf borderId="31" fillId="3" fontId="5" numFmtId="1" xfId="0" applyAlignment="1" applyBorder="1" applyFont="1" applyNumberFormat="1">
      <alignment shrinkToFit="0" vertical="bottom" wrapText="0"/>
    </xf>
    <xf borderId="32" fillId="3" fontId="5" numFmtId="0" xfId="0" applyAlignment="1" applyBorder="1" applyFont="1">
      <alignment horizontal="left" shrinkToFit="0" vertical="bottom" wrapText="0"/>
    </xf>
    <xf borderId="32" fillId="3" fontId="5" numFmtId="0" xfId="0" applyAlignment="1" applyBorder="1" applyFont="1">
      <alignment horizontal="left" shrinkToFit="0" vertical="bottom" wrapText="1"/>
    </xf>
    <xf borderId="33" fillId="3" fontId="5" numFmtId="1" xfId="0" applyAlignment="1" applyBorder="1" applyFont="1" applyNumberFormat="1">
      <alignment shrinkToFit="0" vertical="bottom" wrapText="0"/>
    </xf>
    <xf borderId="34" fillId="3" fontId="5" numFmtId="0" xfId="0" applyAlignment="1" applyBorder="1" applyFont="1">
      <alignment horizontal="left" shrinkToFit="0" vertical="bottom" wrapText="0"/>
    </xf>
    <xf borderId="34" fillId="3" fontId="5" numFmtId="0" xfId="0" applyAlignment="1" applyBorder="1" applyFont="1">
      <alignment horizontal="left" shrinkToFit="0" vertical="bottom" wrapText="1"/>
    </xf>
    <xf borderId="35" fillId="3" fontId="5" numFmtId="0" xfId="0" applyAlignment="1" applyBorder="1" applyFont="1">
      <alignment horizontal="left" shrinkToFit="0" vertical="bottom" wrapText="0"/>
    </xf>
    <xf borderId="36" fillId="3" fontId="5" numFmtId="1" xfId="0" applyAlignment="1" applyBorder="1" applyFont="1" applyNumberFormat="1">
      <alignment shrinkToFit="0" vertical="bottom" wrapText="0"/>
    </xf>
    <xf borderId="36" fillId="3" fontId="5" numFmtId="0" xfId="0" applyAlignment="1" applyBorder="1" applyFont="1">
      <alignment horizontal="left" shrinkToFit="0" vertical="bottom" wrapText="0"/>
    </xf>
    <xf borderId="36" fillId="3" fontId="5" numFmtId="0" xfId="0" applyAlignment="1" applyBorder="1" applyFont="1">
      <alignment horizontal="left" shrinkToFit="0" vertical="bottom" wrapText="1"/>
    </xf>
    <xf borderId="37" fillId="3" fontId="11" numFmtId="0" xfId="0" applyAlignment="1" applyBorder="1" applyFont="1">
      <alignment horizontal="center" shrinkToFit="0" vertical="bottom" wrapText="0"/>
    </xf>
    <xf borderId="38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5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166" xfId="0" applyAlignment="1" applyBorder="1" applyFont="1" applyNumberFormat="1">
      <alignment horizontal="left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39" fillId="4" fontId="2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1"/>
    </xf>
    <xf borderId="40" fillId="4" fontId="15" numFmtId="0" xfId="0" applyAlignment="1" applyBorder="1" applyFont="1">
      <alignment horizontal="center" shrinkToFit="0" vertical="bottom" wrapText="0"/>
    </xf>
    <xf borderId="41" fillId="4" fontId="15" numFmtId="0" xfId="0" applyAlignment="1" applyBorder="1" applyFont="1">
      <alignment horizontal="center" shrinkToFit="0" vertical="bottom" wrapText="1"/>
    </xf>
    <xf borderId="42" fillId="3" fontId="5" numFmtId="0" xfId="0" applyAlignment="1" applyBorder="1" applyFont="1">
      <alignment horizontal="center" shrinkToFit="0" vertical="bottom" wrapText="0"/>
    </xf>
    <xf borderId="14" fillId="3" fontId="26" numFmtId="49" xfId="0" applyAlignment="1" applyBorder="1" applyFont="1" applyNumberFormat="1">
      <alignment horizontal="left" shrinkToFit="0" vertical="center" wrapText="1"/>
    </xf>
    <xf borderId="43" fillId="3" fontId="27" numFmtId="0" xfId="0" applyAlignment="1" applyBorder="1" applyFont="1">
      <alignment horizontal="center" vertical="bottom"/>
    </xf>
    <xf borderId="11" fillId="3" fontId="27" numFmtId="0" xfId="0" applyAlignment="1" applyBorder="1" applyFont="1">
      <alignment horizontal="center" vertical="bottom"/>
    </xf>
    <xf borderId="15" fillId="3" fontId="28" numFmtId="49" xfId="0" applyAlignment="1" applyBorder="1" applyFont="1" applyNumberFormat="1">
      <alignment horizontal="left" shrinkToFit="0" vertical="center" wrapText="1"/>
    </xf>
    <xf borderId="44" fillId="3" fontId="27" numFmtId="0" xfId="0" applyAlignment="1" applyBorder="1" applyFont="1">
      <alignment horizontal="center" vertical="bottom"/>
    </xf>
    <xf borderId="15" fillId="3" fontId="29" numFmtId="0" xfId="0" applyAlignment="1" applyBorder="1" applyFont="1">
      <alignment horizontal="left" shrinkToFit="0" vertical="bottom" wrapText="1"/>
    </xf>
    <xf borderId="15" fillId="3" fontId="6" numFmtId="49" xfId="0" applyAlignment="1" applyBorder="1" applyFont="1" applyNumberFormat="1">
      <alignment shrinkToFit="0" vertical="bottom" wrapText="0"/>
    </xf>
    <xf borderId="15" fillId="3" fontId="5" numFmtId="0" xfId="0" applyAlignment="1" applyBorder="1" applyFont="1">
      <alignment horizontal="center" shrinkToFit="0" vertical="bottom" wrapText="0"/>
    </xf>
    <xf borderId="45" fillId="3" fontId="5" numFmtId="0" xfId="0" applyAlignment="1" applyBorder="1" applyFont="1">
      <alignment horizontal="center" shrinkToFit="0" vertical="bottom" wrapText="0"/>
    </xf>
    <xf borderId="32" fillId="3" fontId="30" numFmtId="49" xfId="0" applyAlignment="1" applyBorder="1" applyFont="1" applyNumberFormat="1">
      <alignment shrinkToFit="0" vertical="bottom" wrapText="0"/>
    </xf>
    <xf borderId="46" fillId="3" fontId="5" numFmtId="0" xfId="0" applyAlignment="1" applyBorder="1" applyFont="1">
      <alignment horizontal="center" shrinkToFit="0" vertical="bottom" wrapText="0"/>
    </xf>
    <xf borderId="47" fillId="4" fontId="31" numFmtId="0" xfId="0" applyAlignment="1" applyBorder="1" applyFont="1">
      <alignment horizontal="center" shrinkToFit="0" vertical="bottom" wrapText="0"/>
    </xf>
    <xf borderId="47" fillId="4" fontId="15" numFmtId="0" xfId="0" applyAlignment="1" applyBorder="1" applyFont="1">
      <alignment horizontal="left" shrinkToFit="0" vertical="bottom" wrapText="0"/>
    </xf>
    <xf borderId="48" fillId="4" fontId="31" numFmtId="0" xfId="0" applyAlignment="1" applyBorder="1" applyFont="1">
      <alignment horizontal="center" shrinkToFit="0" vertical="bottom" wrapText="0"/>
    </xf>
    <xf borderId="22" fillId="4" fontId="31" numFmtId="0" xfId="0" applyAlignment="1" applyBorder="1" applyFont="1">
      <alignment horizontal="center" shrinkToFit="0" vertical="bottom" wrapText="0"/>
    </xf>
    <xf borderId="49" fillId="4" fontId="31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36" fillId="3" fontId="5" numFmtId="0" xfId="0" applyAlignment="1" applyBorder="1" applyFont="1">
      <alignment shrinkToFit="0" vertical="bottom" wrapText="0"/>
    </xf>
    <xf borderId="1" fillId="3" fontId="5" numFmtId="10" xfId="0" applyAlignment="1" applyBorder="1" applyFont="1" applyNumberFormat="1">
      <alignment horizontal="center" shrinkToFit="0" vertical="bottom" wrapText="0"/>
    </xf>
    <xf borderId="1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32" numFmtId="0" xfId="0" applyAlignment="1" applyBorder="1" applyFont="1">
      <alignment horizontal="center" shrinkToFit="0" vertical="bottom" wrapText="1"/>
    </xf>
    <xf borderId="50" fillId="3" fontId="33" numFmtId="0" xfId="0" applyAlignment="1" applyBorder="1" applyFont="1">
      <alignment shrinkToFit="0" vertical="bottom" wrapText="1"/>
    </xf>
    <xf borderId="51" fillId="0" fontId="12" numFmtId="0" xfId="0" applyAlignment="1" applyBorder="1" applyFont="1">
      <alignment vertical="center"/>
    </xf>
    <xf borderId="50" fillId="3" fontId="34" numFmtId="49" xfId="0" applyAlignment="1" applyBorder="1" applyFont="1" applyNumberFormat="1">
      <alignment readingOrder="0" shrinkToFit="0" vertical="bottom" wrapText="1"/>
    </xf>
    <xf borderId="52" fillId="0" fontId="12" numFmtId="0" xfId="0" applyAlignment="1" applyBorder="1" applyFont="1">
      <alignment vertical="center"/>
    </xf>
    <xf borderId="50" fillId="3" fontId="35" numFmtId="49" xfId="0" applyAlignment="1" applyBorder="1" applyFont="1" applyNumberFormat="1">
      <alignment horizontal="center" readingOrder="0" shrinkToFit="0" vertical="bottom" wrapText="1"/>
    </xf>
    <xf borderId="0" fillId="3" fontId="36" numFmtId="49" xfId="0" applyAlignment="1" applyFont="1" applyNumberFormat="1">
      <alignment vertical="bottom"/>
    </xf>
    <xf borderId="50" fillId="3" fontId="34" numFmtId="0" xfId="0" applyAlignment="1" applyBorder="1" applyFont="1">
      <alignment shrinkToFit="0" vertical="bottom" wrapText="1"/>
    </xf>
    <xf borderId="50" fillId="3" fontId="35" numFmtId="49" xfId="0" applyAlignment="1" applyBorder="1" applyFont="1" applyNumberFormat="1">
      <alignment horizontal="center" shrinkToFit="0" vertical="bottom" wrapText="1"/>
    </xf>
    <xf borderId="0" fillId="3" fontId="36" numFmtId="0" xfId="0" applyAlignment="1" applyFont="1">
      <alignment vertical="bottom"/>
    </xf>
    <xf borderId="50" fillId="3" fontId="36" numFmtId="0" xfId="0" applyAlignment="1" applyBorder="1" applyFont="1">
      <alignment vertical="bottom"/>
    </xf>
    <xf borderId="0" fillId="0" fontId="36" numFmtId="0" xfId="0" applyAlignment="1" applyFont="1">
      <alignment vertical="bottom"/>
    </xf>
    <xf borderId="50" fillId="3" fontId="33" numFmtId="0" xfId="0" applyAlignment="1" applyBorder="1" applyFont="1">
      <alignment horizontal="center" vertical="bottom"/>
    </xf>
    <xf borderId="50" fillId="3" fontId="33" numFmtId="0" xfId="0" applyAlignment="1" applyBorder="1" applyFont="1">
      <alignment horizontal="center" shrinkToFit="0" vertical="bottom" wrapText="1"/>
    </xf>
    <xf borderId="53" fillId="3" fontId="35" numFmtId="0" xfId="0" applyAlignment="1" applyBorder="1" applyFont="1">
      <alignment horizontal="center" vertical="bottom"/>
    </xf>
    <xf borderId="54" fillId="0" fontId="12" numFmtId="0" xfId="0" applyAlignment="1" applyBorder="1" applyFont="1">
      <alignment vertical="center"/>
    </xf>
    <xf borderId="55" fillId="0" fontId="12" numFmtId="0" xfId="0" applyAlignment="1" applyBorder="1" applyFont="1">
      <alignment vertical="center"/>
    </xf>
    <xf borderId="53" fillId="3" fontId="35" numFmtId="0" xfId="0" applyAlignment="1" applyBorder="1" applyFont="1">
      <alignment horizontal="center" shrinkToFit="0" vertical="bottom" wrapText="1"/>
    </xf>
    <xf borderId="56" fillId="3" fontId="35" numFmtId="0" xfId="0" applyAlignment="1" applyBorder="1" applyFont="1">
      <alignment horizontal="center" shrinkToFit="0" vertical="bottom" wrapText="1"/>
    </xf>
    <xf borderId="0" fillId="6" fontId="36" numFmtId="0" xfId="0" applyAlignment="1" applyFill="1" applyFont="1">
      <alignment vertical="bottom"/>
    </xf>
    <xf borderId="57" fillId="4" fontId="36" numFmtId="0" xfId="0" applyAlignment="1" applyBorder="1" applyFont="1">
      <alignment vertical="center"/>
    </xf>
    <xf borderId="57" fillId="4" fontId="37" numFmtId="0" xfId="0" applyAlignment="1" applyBorder="1" applyFont="1">
      <alignment horizontal="right" textRotation="180" vertical="center"/>
    </xf>
    <xf borderId="0" fillId="0" fontId="36" numFmtId="0" xfId="0" applyAlignment="1" applyFont="1">
      <alignment vertical="center"/>
    </xf>
    <xf borderId="0" fillId="0" fontId="38" numFmtId="0" xfId="0" applyAlignment="1" applyFont="1">
      <alignment vertical="center"/>
    </xf>
    <xf borderId="0" fillId="4" fontId="37" numFmtId="0" xfId="0" applyAlignment="1" applyFont="1">
      <alignment vertical="bottom"/>
    </xf>
    <xf borderId="58" fillId="0" fontId="33" numFmtId="0" xfId="0" applyAlignment="1" applyBorder="1" applyFont="1">
      <alignment vertical="bottom"/>
    </xf>
    <xf borderId="59" fillId="0" fontId="12" numFmtId="0" xfId="0" applyAlignment="1" applyBorder="1" applyFont="1">
      <alignment vertical="center"/>
    </xf>
    <xf borderId="60" fillId="0" fontId="12" numFmtId="0" xfId="0" applyAlignment="1" applyBorder="1" applyFont="1">
      <alignment vertical="center"/>
    </xf>
    <xf borderId="61" fillId="6" fontId="36" numFmtId="0" xfId="0" applyAlignment="1" applyBorder="1" applyFont="1">
      <alignment vertical="bottom"/>
    </xf>
    <xf borderId="62" fillId="0" fontId="36" numFmtId="0" xfId="0" applyAlignment="1" applyBorder="1" applyFont="1">
      <alignment vertical="bottom"/>
    </xf>
    <xf borderId="63" fillId="0" fontId="36" numFmtId="0" xfId="0" applyAlignment="1" applyBorder="1" applyFont="1">
      <alignment vertical="bottom"/>
    </xf>
    <xf borderId="64" fillId="0" fontId="39" numFmtId="0" xfId="0" applyAlignment="1" applyBorder="1" applyFont="1">
      <alignment vertical="bottom"/>
    </xf>
    <xf borderId="0" fillId="4" fontId="36" numFmtId="0" xfId="0" applyAlignment="1" applyFont="1">
      <alignment vertical="bottom"/>
    </xf>
    <xf borderId="50" fillId="0" fontId="35" numFmtId="0" xfId="0" applyAlignment="1" applyBorder="1" applyFont="1">
      <alignment horizontal="right" vertical="bottom"/>
    </xf>
    <xf borderId="65" fillId="6" fontId="36" numFmtId="0" xfId="0" applyAlignment="1" applyBorder="1" applyFont="1">
      <alignment vertical="bottom"/>
    </xf>
    <xf borderId="5" fillId="0" fontId="3" numFmtId="0" xfId="0" applyAlignment="1" applyBorder="1" applyFont="1">
      <alignment horizontal="center" shrinkToFit="0" vertical="bottom" wrapText="1"/>
    </xf>
    <xf borderId="66" fillId="0" fontId="3" numFmtId="0" xfId="0" applyAlignment="1" applyBorder="1" applyFont="1">
      <alignment horizontal="center" shrinkToFit="0" vertical="bottom" wrapText="1"/>
    </xf>
    <xf borderId="50" fillId="0" fontId="33" numFmtId="0" xfId="0" applyAlignment="1" applyBorder="1" applyFont="1">
      <alignment readingOrder="0" vertical="bottom"/>
    </xf>
    <xf borderId="5" fillId="0" fontId="36" numFmtId="0" xfId="0" applyAlignment="1" applyBorder="1" applyFont="1">
      <alignment vertical="bottom"/>
    </xf>
    <xf borderId="66" fillId="0" fontId="39" numFmtId="0" xfId="0" applyAlignment="1" applyBorder="1" applyFont="1">
      <alignment vertical="bottom"/>
    </xf>
    <xf borderId="50" fillId="0" fontId="35" numFmtId="0" xfId="0" applyAlignment="1" applyBorder="1" applyFont="1">
      <alignment horizontal="right" readingOrder="0" vertical="bottom"/>
    </xf>
    <xf borderId="50" fillId="0" fontId="35" numFmtId="0" xfId="0" applyAlignment="1" applyBorder="1" applyFont="1">
      <alignment horizontal="right" readingOrder="0" shrinkToFit="0" vertical="bottom" wrapText="1"/>
    </xf>
    <xf borderId="57" fillId="4" fontId="36" numFmtId="0" xfId="0" applyAlignment="1" applyBorder="1" applyFont="1">
      <alignment vertical="bottom"/>
    </xf>
    <xf borderId="67" fillId="0" fontId="35" numFmtId="0" xfId="0" applyAlignment="1" applyBorder="1" applyFont="1">
      <alignment horizontal="right" vertical="bottom"/>
    </xf>
    <xf borderId="68" fillId="0" fontId="12" numFmtId="0" xfId="0" applyAlignment="1" applyBorder="1" applyFont="1">
      <alignment vertical="center"/>
    </xf>
    <xf borderId="69" fillId="0" fontId="12" numFmtId="0" xfId="0" applyAlignment="1" applyBorder="1" applyFont="1">
      <alignment vertical="center"/>
    </xf>
    <xf borderId="70" fillId="6" fontId="36" numFmtId="0" xfId="0" applyAlignment="1" applyBorder="1" applyFont="1">
      <alignment vertical="bottom"/>
    </xf>
    <xf borderId="71" fillId="0" fontId="36" numFmtId="0" xfId="0" applyAlignment="1" applyBorder="1" applyFont="1">
      <alignment vertical="bottom"/>
    </xf>
    <xf borderId="71" fillId="0" fontId="3" numFmtId="0" xfId="0" applyAlignment="1" applyBorder="1" applyFont="1">
      <alignment vertical="bottom"/>
    </xf>
    <xf borderId="71" fillId="0" fontId="3" numFmtId="0" xfId="0" applyAlignment="1" applyBorder="1" applyFont="1">
      <alignment readingOrder="0" vertical="bottom"/>
    </xf>
    <xf borderId="72" fillId="0" fontId="3" numFmtId="0" xfId="0" applyAlignment="1" applyBorder="1" applyFont="1">
      <alignment horizontal="center" shrinkToFit="0" vertical="bottom" wrapText="1"/>
    </xf>
    <xf borderId="73" fillId="0" fontId="33" numFmtId="0" xfId="0" applyAlignment="1" applyBorder="1" applyFont="1">
      <alignment vertical="bottom"/>
    </xf>
    <xf borderId="74" fillId="0" fontId="12" numFmtId="0" xfId="0" applyAlignment="1" applyBorder="1" applyFont="1">
      <alignment vertical="center"/>
    </xf>
    <xf borderId="75" fillId="6" fontId="36" numFmtId="0" xfId="0" applyAlignment="1" applyBorder="1" applyFont="1">
      <alignment vertical="bottom"/>
    </xf>
    <xf borderId="50" fillId="0" fontId="35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50" fillId="0" fontId="33" numFmtId="0" xfId="0" applyAlignment="1" applyBorder="1" applyFont="1">
      <alignment vertical="bottom"/>
    </xf>
    <xf borderId="65" fillId="0" fontId="36" numFmtId="0" xfId="0" applyAlignment="1" applyBorder="1" applyFont="1">
      <alignment vertical="bottom"/>
    </xf>
    <xf borderId="76" fillId="0" fontId="39" numFmtId="0" xfId="0" applyAlignment="1" applyBorder="1" applyFont="1">
      <alignment vertical="bottom"/>
    </xf>
    <xf borderId="77" fillId="0" fontId="36" numFmtId="0" xfId="0" applyAlignment="1" applyBorder="1" applyFont="1">
      <alignment vertical="bottom"/>
    </xf>
    <xf borderId="78" fillId="0" fontId="36" numFmtId="0" xfId="0" applyAlignment="1" applyBorder="1" applyFont="1">
      <alignment vertical="bottom"/>
    </xf>
    <xf borderId="78" fillId="0" fontId="3" numFmtId="0" xfId="0" applyAlignment="1" applyBorder="1" applyFont="1">
      <alignment horizontal="center" readingOrder="0" shrinkToFit="0" vertical="bottom" wrapText="1"/>
    </xf>
    <xf borderId="78" fillId="0" fontId="3" numFmtId="0" xfId="0" applyAlignment="1" applyBorder="1" applyFont="1">
      <alignment horizontal="center" shrinkToFit="0" vertical="bottom" wrapText="1"/>
    </xf>
    <xf borderId="79" fillId="0" fontId="35" numFmtId="0" xfId="0" applyAlignment="1" applyBorder="1" applyFont="1">
      <alignment horizontal="right" readingOrder="0" shrinkToFit="0" vertical="bottom" wrapText="1"/>
    </xf>
    <xf borderId="80" fillId="0" fontId="12" numFmtId="0" xfId="0" applyAlignment="1" applyBorder="1" applyFont="1">
      <alignment vertical="center"/>
    </xf>
    <xf borderId="81" fillId="0" fontId="12" numFmtId="0" xfId="0" applyAlignment="1" applyBorder="1" applyFont="1">
      <alignment vertical="center"/>
    </xf>
    <xf borderId="82" fillId="6" fontId="36" numFmtId="0" xfId="0" applyAlignment="1" applyBorder="1" applyFont="1">
      <alignment vertical="bottom"/>
    </xf>
    <xf borderId="83" fillId="0" fontId="36" numFmtId="0" xfId="0" applyAlignment="1" applyBorder="1" applyFont="1">
      <alignment vertical="bottom"/>
    </xf>
    <xf borderId="83" fillId="0" fontId="3" numFmtId="0" xfId="0" applyAlignment="1" applyBorder="1" applyFont="1">
      <alignment vertical="bottom"/>
    </xf>
    <xf borderId="84" fillId="0" fontId="3" numFmtId="0" xfId="0" applyAlignment="1" applyBorder="1" applyFont="1">
      <alignment horizontal="center" shrinkToFit="0" vertical="bottom" wrapText="1"/>
    </xf>
    <xf borderId="85" fillId="4" fontId="37" numFmtId="0" xfId="0" applyAlignment="1" applyBorder="1" applyFont="1">
      <alignment vertical="bottom"/>
    </xf>
    <xf borderId="58" fillId="0" fontId="35" numFmtId="0" xfId="0" applyAlignment="1" applyBorder="1" applyFont="1">
      <alignment vertical="bottom"/>
    </xf>
    <xf borderId="62" fillId="0" fontId="35" numFmtId="0" xfId="0" applyAlignment="1" applyBorder="1" applyFont="1">
      <alignment horizontal="center" shrinkToFit="0" vertical="bottom" wrapText="1"/>
    </xf>
    <xf borderId="62" fillId="0" fontId="35" numFmtId="0" xfId="0" applyAlignment="1" applyBorder="1" applyFont="1">
      <alignment horizontal="center" readingOrder="0" shrinkToFit="0" vertical="bottom" wrapText="1"/>
    </xf>
    <xf borderId="64" fillId="0" fontId="35" numFmtId="0" xfId="0" applyAlignment="1" applyBorder="1" applyFont="1">
      <alignment horizontal="center" shrinkToFit="0" vertical="bottom" wrapText="1"/>
    </xf>
    <xf borderId="62" fillId="0" fontId="35" numFmtId="0" xfId="0" applyAlignment="1" applyBorder="1" applyFont="1">
      <alignment horizontal="center" vertical="bottom"/>
    </xf>
    <xf borderId="86" fillId="0" fontId="35" numFmtId="0" xfId="0" applyAlignment="1" applyBorder="1" applyFont="1">
      <alignment horizontal="center" vertical="bottom"/>
    </xf>
    <xf borderId="5" fillId="0" fontId="35" numFmtId="167" xfId="0" applyAlignment="1" applyBorder="1" applyFont="1" applyNumberFormat="1">
      <alignment horizontal="center" readingOrder="0" textRotation="255" vertical="top"/>
    </xf>
    <xf borderId="5" fillId="0" fontId="35" numFmtId="167" xfId="0" applyAlignment="1" applyBorder="1" applyFont="1" applyNumberFormat="1">
      <alignment horizontal="center" textRotation="255" vertical="top"/>
    </xf>
    <xf borderId="66" fillId="0" fontId="35" numFmtId="167" xfId="0" applyAlignment="1" applyBorder="1" applyFont="1" applyNumberFormat="1">
      <alignment horizontal="center" textRotation="255" vertical="top"/>
    </xf>
    <xf borderId="87" fillId="0" fontId="35" numFmtId="0" xfId="0" applyAlignment="1" applyBorder="1" applyFont="1">
      <alignment vertical="bottom"/>
    </xf>
    <xf borderId="88" fillId="0" fontId="12" numFmtId="0" xfId="0" applyAlignment="1" applyBorder="1" applyFont="1">
      <alignment vertical="center"/>
    </xf>
    <xf borderId="89" fillId="0" fontId="12" numFmtId="0" xfId="0" applyAlignment="1" applyBorder="1" applyFont="1">
      <alignment vertical="center"/>
    </xf>
    <xf borderId="90" fillId="6" fontId="36" numFmtId="0" xfId="0" applyAlignment="1" applyBorder="1" applyFont="1">
      <alignment vertical="bottom"/>
    </xf>
    <xf borderId="90" fillId="0" fontId="36" numFmtId="0" xfId="0" applyAlignment="1" applyBorder="1" applyFont="1">
      <alignment vertical="bottom"/>
    </xf>
    <xf borderId="87" fillId="0" fontId="36" numFmtId="0" xfId="0" applyAlignment="1" applyBorder="1" applyFont="1">
      <alignment vertical="bottom"/>
    </xf>
    <xf borderId="84" fillId="0" fontId="39" numFmtId="0" xfId="0" applyAlignment="1" applyBorder="1" applyFont="1">
      <alignment vertical="bottom"/>
    </xf>
    <xf borderId="0" fillId="0" fontId="36" numFmtId="167" xfId="0" applyAlignment="1" applyFont="1" applyNumberFormat="1">
      <alignment vertical="bottom"/>
    </xf>
    <xf borderId="5" fillId="0" fontId="39" numFmtId="0" xfId="0" applyAlignment="1" applyBorder="1" applyFont="1">
      <alignment vertical="bottom"/>
    </xf>
    <xf borderId="71" fillId="0" fontId="39" numFmtId="0" xfId="0" applyAlignment="1" applyBorder="1" applyFont="1">
      <alignment vertical="bottom"/>
    </xf>
    <xf borderId="62" fillId="0" fontId="39" numFmtId="0" xfId="0" applyAlignment="1" applyBorder="1" applyFont="1">
      <alignment vertical="bottom"/>
    </xf>
    <xf borderId="5" fillId="0" fontId="39" numFmtId="0" xfId="0" applyAlignment="1" applyBorder="1" applyFont="1">
      <alignment vertical="bottom"/>
    </xf>
    <xf borderId="77" fillId="0" fontId="39" numFmtId="0" xfId="0" applyAlignment="1" applyBorder="1" applyFont="1">
      <alignment vertical="bottom"/>
    </xf>
    <xf borderId="78" fillId="0" fontId="39" numFmtId="0" xfId="0" applyAlignment="1" applyBorder="1" applyFont="1">
      <alignment vertical="bottom"/>
    </xf>
    <xf borderId="83" fillId="0" fontId="39" numFmtId="0" xfId="0" applyAlignment="1" applyBorder="1" applyFont="1">
      <alignment vertical="bottom"/>
    </xf>
    <xf borderId="62" fillId="0" fontId="35" numFmtId="0" xfId="0" applyAlignment="1" applyBorder="1" applyFont="1">
      <alignment horizontal="center" shrinkToFit="0" vertical="bottom" wrapText="1"/>
    </xf>
    <xf borderId="5" fillId="0" fontId="39" numFmtId="167" xfId="0" applyAlignment="1" applyBorder="1" applyFont="1" applyNumberFormat="1">
      <alignment vertical="top"/>
    </xf>
    <xf borderId="67" fillId="0" fontId="35" numFmtId="0" xfId="0" applyAlignment="1" applyBorder="1" applyFont="1">
      <alignment horizontal="right" readingOrder="0" vertical="bottom"/>
    </xf>
    <xf borderId="58" fillId="0" fontId="33" numFmtId="0" xfId="0" applyAlignment="1" applyBorder="1" applyFont="1">
      <alignment readingOrder="0" vertical="bottom"/>
    </xf>
    <xf borderId="91" fillId="6" fontId="36" numFmtId="0" xfId="0" applyAlignment="1" applyBorder="1" applyFont="1">
      <alignment vertical="bottom"/>
    </xf>
    <xf borderId="92" fillId="0" fontId="39" numFmtId="0" xfId="0" applyAlignment="1" applyBorder="1" applyFont="1">
      <alignment vertical="bottom"/>
    </xf>
    <xf borderId="93" fillId="0" fontId="39" numFmtId="0" xfId="0" applyAlignment="1" applyBorder="1" applyFont="1">
      <alignment vertical="bottom"/>
    </xf>
    <xf borderId="71" fillId="0" fontId="3" numFmtId="0" xfId="0" applyAlignment="1" applyBorder="1" applyFont="1">
      <alignment vertical="bottom"/>
    </xf>
    <xf borderId="71" fillId="0" fontId="39" numFmtId="0" xfId="0" applyAlignment="1" applyBorder="1" applyFont="1">
      <alignment vertical="bottom"/>
    </xf>
    <xf borderId="83" fillId="0" fontId="3" numFmtId="0" xfId="0" applyAlignment="1" applyBorder="1" applyFont="1">
      <alignment readingOrder="0" vertical="bottom"/>
    </xf>
    <xf borderId="50" fillId="3" fontId="34" numFmtId="49" xfId="0" applyAlignment="1" applyBorder="1" applyFont="1" applyNumberFormat="1">
      <alignment shrinkToFit="0" vertical="bottom" wrapText="1"/>
    </xf>
    <xf borderId="79" fillId="0" fontId="35" numFmtId="0" xfId="0" applyAlignment="1" applyBorder="1" applyFont="1">
      <alignment horizontal="right" shrinkToFit="0" vertical="bottom" wrapText="1"/>
    </xf>
    <xf borderId="62" fillId="0" fontId="35" numFmtId="0" xfId="0" applyAlignment="1" applyBorder="1" applyFont="1">
      <alignment horizontal="center" readingOrder="0" vertical="bottom"/>
    </xf>
    <xf borderId="78" fillId="0" fontId="3" numFmtId="0" xfId="0" applyAlignment="1" applyBorder="1" applyFont="1">
      <alignment vertical="bottom"/>
    </xf>
    <xf borderId="92" fillId="0" fontId="3" numFmtId="0" xfId="0" applyAlignment="1" applyBorder="1" applyFont="1">
      <alignment horizontal="center" shrinkToFit="0" vertical="bottom" wrapText="1"/>
    </xf>
    <xf borderId="76" fillId="0" fontId="3" numFmtId="0" xfId="0" applyAlignment="1" applyBorder="1" applyFont="1">
      <alignment horizontal="center" shrinkToFit="0" vertical="bottom" wrapText="1"/>
    </xf>
    <xf borderId="94" fillId="0" fontId="39" numFmtId="0" xfId="0" applyAlignment="1" applyBorder="1" applyFont="1">
      <alignment vertical="bottom"/>
    </xf>
    <xf borderId="95" fillId="0" fontId="3" numFmtId="0" xfId="0" applyAlignment="1" applyBorder="1" applyFont="1">
      <alignment vertical="bottom"/>
    </xf>
    <xf borderId="86" fillId="0" fontId="39" numFmtId="0" xfId="0" applyAlignment="1" applyBorder="1" applyFont="1">
      <alignment vertical="bottom"/>
    </xf>
    <xf borderId="96" fillId="0" fontId="39" numFmtId="0" xfId="0" applyAlignment="1" applyBorder="1" applyFont="1">
      <alignment vertical="bottom"/>
    </xf>
    <xf borderId="97" fillId="0" fontId="3" numFmtId="0" xfId="0" applyAlignment="1" applyBorder="1" applyFont="1">
      <alignment vertical="bottom"/>
    </xf>
    <xf borderId="62" fillId="0" fontId="35" numFmtId="0" xfId="0" applyAlignment="1" applyBorder="1" applyFont="1">
      <alignment vertical="bottom"/>
    </xf>
    <xf borderId="86" fillId="0" fontId="35" numFmtId="0" xfId="0" applyAlignment="1" applyBorder="1" applyFont="1">
      <alignment vertical="bottom"/>
    </xf>
    <xf borderId="62" fillId="0" fontId="35" numFmtId="0" xfId="0" applyAlignment="1" applyBorder="1" applyFont="1">
      <alignment horizontal="center" vertical="bottom"/>
    </xf>
    <xf borderId="76" fillId="0" fontId="35" numFmtId="167" xfId="0" applyAlignment="1" applyBorder="1" applyFont="1" applyNumberFormat="1">
      <alignment horizontal="center" textRotation="255" vertical="top"/>
    </xf>
    <xf borderId="90" fillId="0" fontId="39" numFmtId="0" xfId="0" applyAlignment="1" applyBorder="1" applyFont="1">
      <alignment vertical="bottom"/>
    </xf>
    <xf borderId="87" fillId="0" fontId="39" numFmtId="0" xfId="0" applyAlignment="1" applyBorder="1" applyFont="1">
      <alignment vertical="bottom"/>
    </xf>
    <xf borderId="98" fillId="0" fontId="39" numFmtId="0" xfId="0" applyAlignment="1" applyBorder="1" applyFont="1">
      <alignment vertical="bottom"/>
    </xf>
    <xf borderId="99" fillId="0" fontId="39" numFmtId="0" xfId="0" applyAlignment="1" applyBorder="1" applyFont="1">
      <alignment vertical="bottom"/>
    </xf>
    <xf borderId="76" fillId="0" fontId="39" numFmtId="167" xfId="0" applyAlignment="1" applyBorder="1" applyFont="1" applyNumberFormat="1">
      <alignment vertical="top"/>
    </xf>
    <xf borderId="100" fillId="0" fontId="39" numFmtId="0" xfId="0" applyAlignment="1" applyBorder="1" applyFont="1">
      <alignment vertical="bottom"/>
    </xf>
    <xf borderId="78" fillId="0" fontId="3" numFmtId="0" xfId="0" applyAlignment="1" applyBorder="1" applyFont="1">
      <alignment horizontal="center" shrinkToFit="0" vertical="bottom" wrapText="1"/>
    </xf>
    <xf borderId="94" fillId="0" fontId="3" numFmtId="0" xfId="0" applyAlignment="1" applyBorder="1" applyFont="1">
      <alignment horizontal="center" shrinkToFit="0" vertical="bottom" wrapText="1"/>
    </xf>
    <xf borderId="78" fillId="0" fontId="3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Statistics!$F$45:$H$45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Statistics!$C$45:$E$45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7621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52</xdr:row>
      <xdr:rowOff>0</xdr:rowOff>
    </xdr:from>
    <xdr:ext cx="3714750" cy="2438400"/>
    <xdr:graphicFrame>
      <xdr:nvGraphicFramePr>
        <xdr:cNvPr descr="Chart 0" id="11366290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52</xdr:row>
      <xdr:rowOff>19050</xdr:rowOff>
    </xdr:from>
    <xdr:ext cx="4248150" cy="2409825"/>
    <xdr:graphicFrame>
      <xdr:nvGraphicFramePr>
        <xdr:cNvPr descr="Chart 1" id="80650142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8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8.25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8.2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5.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13"/>
    <col customWidth="1" min="2" max="2" width="10.0"/>
    <col customWidth="1" min="3" max="3" width="31.38"/>
    <col customWidth="1" min="4" max="4" width="8.0"/>
    <col customWidth="1" min="5" max="5" width="38.0"/>
    <col customWidth="1" min="6" max="6" width="48.13"/>
    <col customWidth="1" min="7" max="26" width="8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44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45</v>
      </c>
      <c r="B4" s="23" t="s">
        <v>46</v>
      </c>
      <c r="C4" s="16"/>
      <c r="D4" s="17"/>
      <c r="E4" s="22" t="s">
        <v>47</v>
      </c>
      <c r="F4" s="24" t="s">
        <v>48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49</v>
      </c>
      <c r="B5" s="23" t="s">
        <v>50</v>
      </c>
      <c r="C5" s="16"/>
      <c r="D5" s="17"/>
      <c r="E5" s="22" t="s">
        <v>51</v>
      </c>
      <c r="F5" s="25">
        <v>45940.0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52</v>
      </c>
      <c r="B6" s="27" t="str">
        <f>B5&amp;"_"&amp;"Report5"&amp;"_"&amp;"v1.0"</f>
        <v>QHome_Report5_v1.0</v>
      </c>
      <c r="C6" s="16"/>
      <c r="D6" s="17"/>
      <c r="E6" s="22" t="s">
        <v>53</v>
      </c>
      <c r="F6" s="28">
        <v>1.0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54</v>
      </c>
      <c r="B9" s="32"/>
      <c r="C9" s="32"/>
      <c r="D9" s="32"/>
      <c r="E9" s="32"/>
      <c r="F9" s="3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3" t="s">
        <v>55</v>
      </c>
      <c r="B10" s="34" t="s">
        <v>53</v>
      </c>
      <c r="C10" s="34" t="s">
        <v>56</v>
      </c>
      <c r="D10" s="34" t="s">
        <v>57</v>
      </c>
      <c r="E10" s="35" t="s">
        <v>58</v>
      </c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8">
        <v>45940.0</v>
      </c>
      <c r="B11" s="39" t="s">
        <v>59</v>
      </c>
      <c r="C11" s="40" t="s">
        <v>60</v>
      </c>
      <c r="D11" s="41" t="s">
        <v>61</v>
      </c>
      <c r="E11" s="42" t="s">
        <v>62</v>
      </c>
      <c r="F11" s="43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38">
        <v>45957.0</v>
      </c>
      <c r="B12" s="39" t="s">
        <v>59</v>
      </c>
      <c r="C12" s="45" t="s">
        <v>63</v>
      </c>
      <c r="D12" s="41" t="s">
        <v>61</v>
      </c>
      <c r="E12" s="46" t="s">
        <v>64</v>
      </c>
      <c r="F12" s="43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38">
        <v>45957.0</v>
      </c>
      <c r="B13" s="39" t="s">
        <v>59</v>
      </c>
      <c r="C13" s="47" t="s">
        <v>65</v>
      </c>
      <c r="D13" s="41" t="s">
        <v>61</v>
      </c>
      <c r="E13" s="46" t="s">
        <v>64</v>
      </c>
      <c r="F13" s="43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38">
        <v>45957.0</v>
      </c>
      <c r="B14" s="39" t="s">
        <v>59</v>
      </c>
      <c r="C14" s="47" t="s">
        <v>66</v>
      </c>
      <c r="D14" s="41" t="s">
        <v>61</v>
      </c>
      <c r="E14" s="46" t="s">
        <v>64</v>
      </c>
      <c r="F14" s="43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8">
        <v>45959.0</v>
      </c>
      <c r="B15" s="39" t="s">
        <v>59</v>
      </c>
      <c r="C15" s="47" t="s">
        <v>67</v>
      </c>
      <c r="D15" s="41" t="s">
        <v>61</v>
      </c>
      <c r="E15" s="46" t="s">
        <v>64</v>
      </c>
      <c r="F15" s="43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75" customHeight="1">
      <c r="A16" s="48">
        <v>45959.0</v>
      </c>
      <c r="B16" s="39" t="s">
        <v>59</v>
      </c>
      <c r="C16" s="47" t="s">
        <v>68</v>
      </c>
      <c r="D16" s="41" t="s">
        <v>61</v>
      </c>
      <c r="E16" s="46" t="s">
        <v>64</v>
      </c>
      <c r="F16" s="43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75" customHeight="1">
      <c r="A17" s="48">
        <v>45959.0</v>
      </c>
      <c r="B17" s="39" t="s">
        <v>59</v>
      </c>
      <c r="C17" s="49" t="s">
        <v>69</v>
      </c>
      <c r="D17" s="41" t="s">
        <v>61</v>
      </c>
      <c r="E17" s="46" t="s">
        <v>64</v>
      </c>
      <c r="F17" s="43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75" customHeight="1">
      <c r="A18" s="48">
        <v>45959.0</v>
      </c>
      <c r="B18" s="39" t="s">
        <v>59</v>
      </c>
      <c r="C18" s="49" t="s">
        <v>70</v>
      </c>
      <c r="D18" s="41" t="s">
        <v>61</v>
      </c>
      <c r="E18" s="46" t="s">
        <v>64</v>
      </c>
      <c r="F18" s="4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75" customHeight="1">
      <c r="A19" s="48">
        <v>45959.0</v>
      </c>
      <c r="B19" s="39" t="s">
        <v>59</v>
      </c>
      <c r="C19" s="49" t="s">
        <v>71</v>
      </c>
      <c r="D19" s="41" t="s">
        <v>61</v>
      </c>
      <c r="E19" s="46" t="s">
        <v>64</v>
      </c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38">
        <v>45959.0</v>
      </c>
      <c r="B20" s="39" t="s">
        <v>59</v>
      </c>
      <c r="C20" s="50" t="s">
        <v>72</v>
      </c>
      <c r="D20" s="41" t="s">
        <v>61</v>
      </c>
      <c r="E20" s="46" t="s">
        <v>64</v>
      </c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38">
        <v>45959.0</v>
      </c>
      <c r="B21" s="39" t="s">
        <v>59</v>
      </c>
      <c r="C21" s="50" t="s">
        <v>73</v>
      </c>
      <c r="D21" s="41" t="s">
        <v>61</v>
      </c>
      <c r="E21" s="46" t="s">
        <v>64</v>
      </c>
      <c r="F21" s="43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38">
        <v>45959.0</v>
      </c>
      <c r="B22" s="39" t="s">
        <v>59</v>
      </c>
      <c r="C22" s="50" t="s">
        <v>74</v>
      </c>
      <c r="D22" s="41" t="s">
        <v>61</v>
      </c>
      <c r="E22" s="46" t="s">
        <v>64</v>
      </c>
      <c r="F22" s="43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8">
        <v>45962.0</v>
      </c>
      <c r="B23" s="39" t="s">
        <v>59</v>
      </c>
      <c r="C23" s="45" t="s">
        <v>75</v>
      </c>
      <c r="D23" s="41" t="s">
        <v>61</v>
      </c>
      <c r="E23" s="46" t="s">
        <v>64</v>
      </c>
      <c r="F23" s="43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8">
        <v>45962.0</v>
      </c>
      <c r="B24" s="39" t="s">
        <v>59</v>
      </c>
      <c r="C24" s="47" t="s">
        <v>76</v>
      </c>
      <c r="D24" s="41" t="s">
        <v>61</v>
      </c>
      <c r="E24" s="46" t="s">
        <v>64</v>
      </c>
      <c r="F24" s="43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48">
        <v>45962.0</v>
      </c>
      <c r="B25" s="39" t="s">
        <v>59</v>
      </c>
      <c r="C25" s="47" t="s">
        <v>77</v>
      </c>
      <c r="D25" s="41" t="s">
        <v>61</v>
      </c>
      <c r="E25" s="46" t="s">
        <v>64</v>
      </c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48">
        <v>45963.0</v>
      </c>
      <c r="B26" s="39" t="s">
        <v>59</v>
      </c>
      <c r="C26" s="45" t="s">
        <v>78</v>
      </c>
      <c r="D26" s="41" t="s">
        <v>61</v>
      </c>
      <c r="E26" s="46" t="s">
        <v>64</v>
      </c>
      <c r="F26" s="4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48">
        <v>45963.0</v>
      </c>
      <c r="B27" s="39" t="s">
        <v>59</v>
      </c>
      <c r="C27" s="47" t="s">
        <v>79</v>
      </c>
      <c r="D27" s="41" t="s">
        <v>61</v>
      </c>
      <c r="E27" s="46" t="s">
        <v>64</v>
      </c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8">
        <v>45963.0</v>
      </c>
      <c r="B28" s="39" t="s">
        <v>59</v>
      </c>
      <c r="C28" s="47" t="s">
        <v>80</v>
      </c>
      <c r="D28" s="41" t="s">
        <v>61</v>
      </c>
      <c r="E28" s="46" t="s">
        <v>64</v>
      </c>
      <c r="F28" s="4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8">
        <v>45963.0</v>
      </c>
      <c r="B29" s="39" t="s">
        <v>59</v>
      </c>
      <c r="C29" s="47" t="s">
        <v>81</v>
      </c>
      <c r="D29" s="41" t="s">
        <v>61</v>
      </c>
      <c r="E29" s="46" t="s">
        <v>64</v>
      </c>
      <c r="F29" s="4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48">
        <v>45964.0</v>
      </c>
      <c r="B30" s="39" t="s">
        <v>59</v>
      </c>
      <c r="C30" s="45" t="s">
        <v>82</v>
      </c>
      <c r="D30" s="41" t="s">
        <v>61</v>
      </c>
      <c r="E30" s="46" t="s">
        <v>64</v>
      </c>
      <c r="F30" s="4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8">
        <v>45964.0</v>
      </c>
      <c r="B31" s="39" t="s">
        <v>59</v>
      </c>
      <c r="C31" s="47" t="s">
        <v>83</v>
      </c>
      <c r="D31" s="41" t="s">
        <v>61</v>
      </c>
      <c r="E31" s="46" t="s">
        <v>64</v>
      </c>
      <c r="F31" s="43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48">
        <v>45964.0</v>
      </c>
      <c r="B32" s="39" t="s">
        <v>59</v>
      </c>
      <c r="C32" s="47" t="s">
        <v>84</v>
      </c>
      <c r="D32" s="41" t="s">
        <v>61</v>
      </c>
      <c r="E32" s="46" t="s">
        <v>64</v>
      </c>
      <c r="F32" s="4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48">
        <v>45964.0</v>
      </c>
      <c r="B33" s="39" t="s">
        <v>59</v>
      </c>
      <c r="C33" s="47" t="s">
        <v>85</v>
      </c>
      <c r="D33" s="41" t="s">
        <v>61</v>
      </c>
      <c r="E33" s="46" t="s">
        <v>64</v>
      </c>
      <c r="F33" s="43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48">
        <v>45965.0</v>
      </c>
      <c r="B34" s="39" t="s">
        <v>59</v>
      </c>
      <c r="C34" s="51" t="s">
        <v>86</v>
      </c>
      <c r="D34" s="41" t="s">
        <v>61</v>
      </c>
      <c r="E34" s="46" t="s">
        <v>64</v>
      </c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48">
        <v>45965.0</v>
      </c>
      <c r="B35" s="39" t="s">
        <v>59</v>
      </c>
      <c r="C35" s="51" t="s">
        <v>87</v>
      </c>
      <c r="D35" s="41" t="s">
        <v>61</v>
      </c>
      <c r="E35" s="46" t="s">
        <v>64</v>
      </c>
      <c r="F35" s="4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48">
        <v>45965.0</v>
      </c>
      <c r="B36" s="39" t="s">
        <v>59</v>
      </c>
      <c r="C36" s="51" t="s">
        <v>88</v>
      </c>
      <c r="D36" s="41" t="s">
        <v>61</v>
      </c>
      <c r="E36" s="46" t="s">
        <v>64</v>
      </c>
      <c r="F36" s="4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52"/>
      <c r="B37" s="53"/>
      <c r="C37" s="54"/>
      <c r="D37" s="54"/>
      <c r="E37" s="55"/>
      <c r="F37" s="5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52"/>
      <c r="B38" s="53"/>
      <c r="C38" s="54"/>
      <c r="D38" s="54"/>
      <c r="E38" s="55"/>
      <c r="F38" s="5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52"/>
      <c r="B39" s="53"/>
      <c r="C39" s="54"/>
      <c r="D39" s="54"/>
      <c r="E39" s="55"/>
      <c r="F39" s="5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52"/>
      <c r="B40" s="53"/>
      <c r="C40" s="54"/>
      <c r="D40" s="54"/>
      <c r="E40" s="55"/>
      <c r="F40" s="5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52"/>
      <c r="B41" s="53"/>
      <c r="C41" s="54"/>
      <c r="D41" s="54"/>
      <c r="E41" s="55"/>
      <c r="F41" s="5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52"/>
      <c r="B42" s="53"/>
      <c r="C42" s="54"/>
      <c r="D42" s="54"/>
      <c r="E42" s="55"/>
      <c r="F42" s="56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52"/>
      <c r="B43" s="53"/>
      <c r="C43" s="54"/>
      <c r="D43" s="54"/>
      <c r="E43" s="55"/>
      <c r="F43" s="5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52"/>
      <c r="B44" s="53"/>
      <c r="C44" s="54"/>
      <c r="D44" s="54"/>
      <c r="E44" s="55"/>
      <c r="F44" s="5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57"/>
      <c r="B45" s="58"/>
      <c r="C45" s="59"/>
      <c r="D45" s="59"/>
      <c r="E45" s="60"/>
      <c r="F45" s="6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0">
    <mergeCell ref="B2:F2"/>
    <mergeCell ref="B4:D4"/>
    <mergeCell ref="B5:D5"/>
    <mergeCell ref="B6:D6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41:F41"/>
    <mergeCell ref="E42:F42"/>
    <mergeCell ref="E43:F43"/>
    <mergeCell ref="E44:F44"/>
    <mergeCell ref="E45:F45"/>
    <mergeCell ref="E34:F34"/>
    <mergeCell ref="E35:F35"/>
    <mergeCell ref="E36:F36"/>
    <mergeCell ref="E37:F37"/>
    <mergeCell ref="E38:F38"/>
    <mergeCell ref="E39:F39"/>
    <mergeCell ref="E40:F40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4" width="50.13"/>
    <col customWidth="1" min="5" max="24" width="8.0"/>
  </cols>
  <sheetData>
    <row r="1" ht="12.75" customHeight="1">
      <c r="A1" s="62"/>
      <c r="B1" s="63"/>
      <c r="C1" s="63"/>
      <c r="D1" s="64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ht="24.0" customHeight="1">
      <c r="A2" s="62"/>
      <c r="B2" s="63"/>
      <c r="C2" s="65" t="s">
        <v>89</v>
      </c>
      <c r="D2" s="65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ht="13.5" customHeight="1">
      <c r="A3" s="62"/>
      <c r="B3" s="63"/>
      <c r="C3" s="63"/>
      <c r="D3" s="6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ht="14.25" customHeight="1">
      <c r="A4" s="67" t="s">
        <v>45</v>
      </c>
      <c r="B4" s="16"/>
      <c r="C4" s="68" t="str">
        <f>Cover!B4</f>
        <v>QHome Apartment Management System</v>
      </c>
      <c r="D4" s="17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ht="14.25" customHeight="1">
      <c r="A5" s="67" t="s">
        <v>49</v>
      </c>
      <c r="B5" s="16"/>
      <c r="C5" s="68" t="str">
        <f>Cover!B5</f>
        <v>QHome</v>
      </c>
      <c r="D5" s="17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69" t="s">
        <v>90</v>
      </c>
      <c r="B6" s="17"/>
      <c r="C6" s="70" t="s">
        <v>91</v>
      </c>
      <c r="D6" s="17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 ht="12.75" customHeight="1">
      <c r="A7" s="72"/>
      <c r="B7" s="63"/>
      <c r="C7" s="7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73" t="s">
        <v>92</v>
      </c>
      <c r="B8" s="74" t="s">
        <v>93</v>
      </c>
      <c r="C8" s="74" t="s">
        <v>94</v>
      </c>
      <c r="D8" s="75" t="s">
        <v>95</v>
      </c>
      <c r="E8" s="76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</row>
    <row r="9" ht="12.75" customHeight="1">
      <c r="A9" s="78">
        <f t="shared" ref="A9:A54" si="1">ROW() -8</f>
        <v>1</v>
      </c>
      <c r="B9" s="79" t="s">
        <v>96</v>
      </c>
      <c r="C9" s="45" t="s">
        <v>75</v>
      </c>
      <c r="D9" s="80" t="s">
        <v>75</v>
      </c>
      <c r="E9" s="8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ht="12.75" customHeight="1">
      <c r="A10" s="78">
        <f t="shared" si="1"/>
        <v>2</v>
      </c>
      <c r="B10" s="79" t="s">
        <v>96</v>
      </c>
      <c r="C10" s="47" t="s">
        <v>76</v>
      </c>
      <c r="D10" s="82" t="s">
        <v>76</v>
      </c>
      <c r="E10" s="8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ht="12.75" customHeight="1">
      <c r="A11" s="78">
        <f t="shared" si="1"/>
        <v>3</v>
      </c>
      <c r="B11" s="79" t="s">
        <v>96</v>
      </c>
      <c r="C11" s="47" t="s">
        <v>77</v>
      </c>
      <c r="D11" s="82" t="s">
        <v>77</v>
      </c>
      <c r="E11" s="8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12.75" customHeight="1">
      <c r="A12" s="78">
        <f t="shared" si="1"/>
        <v>4</v>
      </c>
      <c r="B12" s="79" t="s">
        <v>97</v>
      </c>
      <c r="C12" s="45" t="s">
        <v>78</v>
      </c>
      <c r="D12" s="80" t="s">
        <v>78</v>
      </c>
      <c r="E12" s="8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ht="12.75" customHeight="1">
      <c r="A13" s="78">
        <f t="shared" si="1"/>
        <v>5</v>
      </c>
      <c r="B13" s="79" t="s">
        <v>97</v>
      </c>
      <c r="C13" s="47" t="s">
        <v>79</v>
      </c>
      <c r="D13" s="82" t="s">
        <v>79</v>
      </c>
      <c r="E13" s="8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ht="12.75" customHeight="1">
      <c r="A14" s="78">
        <f t="shared" si="1"/>
        <v>6</v>
      </c>
      <c r="B14" s="79" t="s">
        <v>97</v>
      </c>
      <c r="C14" s="47" t="s">
        <v>80</v>
      </c>
      <c r="D14" s="82" t="s">
        <v>80</v>
      </c>
      <c r="E14" s="8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ht="12.75" customHeight="1">
      <c r="A15" s="78">
        <f t="shared" si="1"/>
        <v>7</v>
      </c>
      <c r="B15" s="79" t="s">
        <v>97</v>
      </c>
      <c r="C15" s="47" t="s">
        <v>81</v>
      </c>
      <c r="D15" s="82" t="s">
        <v>81</v>
      </c>
      <c r="E15" s="8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ht="12.75" customHeight="1">
      <c r="A16" s="78">
        <f t="shared" si="1"/>
        <v>8</v>
      </c>
      <c r="B16" s="79" t="s">
        <v>98</v>
      </c>
      <c r="C16" s="45" t="s">
        <v>82</v>
      </c>
      <c r="D16" s="80" t="s">
        <v>82</v>
      </c>
      <c r="E16" s="8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12.75" customHeight="1">
      <c r="A17" s="78">
        <f t="shared" si="1"/>
        <v>9</v>
      </c>
      <c r="B17" s="79" t="s">
        <v>98</v>
      </c>
      <c r="C17" s="47" t="s">
        <v>83</v>
      </c>
      <c r="D17" s="82" t="s">
        <v>83</v>
      </c>
      <c r="E17" s="8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ht="12.75" customHeight="1">
      <c r="A18" s="78">
        <f t="shared" si="1"/>
        <v>10</v>
      </c>
      <c r="B18" s="79" t="s">
        <v>98</v>
      </c>
      <c r="C18" s="47" t="s">
        <v>84</v>
      </c>
      <c r="D18" s="82" t="s">
        <v>84</v>
      </c>
      <c r="E18" s="8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12.75" customHeight="1">
      <c r="A19" s="78">
        <f t="shared" si="1"/>
        <v>11</v>
      </c>
      <c r="B19" s="79" t="s">
        <v>98</v>
      </c>
      <c r="C19" s="47" t="s">
        <v>85</v>
      </c>
      <c r="D19" s="82" t="s">
        <v>85</v>
      </c>
      <c r="E19" s="8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ht="12.75" customHeight="1">
      <c r="A20" s="78">
        <f t="shared" si="1"/>
        <v>12</v>
      </c>
      <c r="B20" s="79" t="s">
        <v>98</v>
      </c>
      <c r="C20" s="51" t="s">
        <v>86</v>
      </c>
      <c r="D20" s="83" t="s">
        <v>86</v>
      </c>
      <c r="E20" s="8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ht="12.75" customHeight="1">
      <c r="A21" s="78">
        <f t="shared" si="1"/>
        <v>13</v>
      </c>
      <c r="B21" s="79" t="s">
        <v>98</v>
      </c>
      <c r="C21" s="51" t="s">
        <v>87</v>
      </c>
      <c r="D21" s="83" t="s">
        <v>87</v>
      </c>
      <c r="E21" s="8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ht="12.75" customHeight="1">
      <c r="A22" s="78">
        <f t="shared" si="1"/>
        <v>14</v>
      </c>
      <c r="B22" s="79" t="s">
        <v>98</v>
      </c>
      <c r="C22" s="51" t="s">
        <v>88</v>
      </c>
      <c r="D22" s="83" t="s">
        <v>88</v>
      </c>
      <c r="E22" s="8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ht="12.75" customHeight="1">
      <c r="A23" s="78">
        <f t="shared" si="1"/>
        <v>15</v>
      </c>
      <c r="B23" s="84" t="s">
        <v>99</v>
      </c>
      <c r="C23" s="85" t="s">
        <v>63</v>
      </c>
      <c r="D23" s="86" t="s">
        <v>63</v>
      </c>
      <c r="E23" s="8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ht="12.75" customHeight="1">
      <c r="A24" s="78">
        <f t="shared" si="1"/>
        <v>16</v>
      </c>
      <c r="B24" s="87" t="s">
        <v>99</v>
      </c>
      <c r="C24" s="88" t="s">
        <v>100</v>
      </c>
      <c r="D24" s="89" t="s">
        <v>100</v>
      </c>
      <c r="E24" s="8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ht="12.75" customHeight="1">
      <c r="A25" s="78">
        <f t="shared" si="1"/>
        <v>17</v>
      </c>
      <c r="B25" s="87" t="s">
        <v>99</v>
      </c>
      <c r="C25" s="88" t="s">
        <v>101</v>
      </c>
      <c r="D25" s="89" t="s">
        <v>101</v>
      </c>
      <c r="E25" s="8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ht="12.75" customHeight="1">
      <c r="A26" s="78">
        <f t="shared" si="1"/>
        <v>18</v>
      </c>
      <c r="B26" s="87" t="s">
        <v>99</v>
      </c>
      <c r="C26" s="88" t="s">
        <v>102</v>
      </c>
      <c r="D26" s="89" t="s">
        <v>102</v>
      </c>
      <c r="E26" s="8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ht="12.75" customHeight="1">
      <c r="A27" s="78">
        <f t="shared" si="1"/>
        <v>19</v>
      </c>
      <c r="B27" s="79" t="s">
        <v>103</v>
      </c>
      <c r="C27" s="88" t="s">
        <v>104</v>
      </c>
      <c r="D27" s="89" t="s">
        <v>104</v>
      </c>
      <c r="E27" s="8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ht="12.75" customHeight="1">
      <c r="A28" s="78">
        <f t="shared" si="1"/>
        <v>20</v>
      </c>
      <c r="B28" s="79" t="s">
        <v>103</v>
      </c>
      <c r="C28" s="90" t="s">
        <v>69</v>
      </c>
      <c r="D28" s="91" t="s">
        <v>69</v>
      </c>
      <c r="E28" s="8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78">
        <f t="shared" si="1"/>
        <v>21</v>
      </c>
      <c r="B29" s="79" t="s">
        <v>103</v>
      </c>
      <c r="C29" s="90" t="s">
        <v>70</v>
      </c>
      <c r="D29" s="91" t="s">
        <v>70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ht="12.75" customHeight="1">
      <c r="A30" s="78">
        <f t="shared" si="1"/>
        <v>22</v>
      </c>
      <c r="B30" s="79" t="s">
        <v>103</v>
      </c>
      <c r="C30" s="90" t="s">
        <v>71</v>
      </c>
      <c r="D30" s="91" t="s">
        <v>71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 ht="12.75" customHeight="1">
      <c r="A31" s="78">
        <f t="shared" si="1"/>
        <v>23</v>
      </c>
      <c r="B31" s="79" t="s">
        <v>103</v>
      </c>
      <c r="C31" s="94" t="s">
        <v>72</v>
      </c>
      <c r="D31" s="95" t="s">
        <v>72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 ht="12.75" customHeight="1">
      <c r="A32" s="78">
        <f t="shared" si="1"/>
        <v>24</v>
      </c>
      <c r="B32" s="79" t="s">
        <v>103</v>
      </c>
      <c r="C32" s="94" t="s">
        <v>73</v>
      </c>
      <c r="D32" s="95" t="s">
        <v>73</v>
      </c>
      <c r="E32" s="8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ht="12.75" customHeight="1">
      <c r="A33" s="78">
        <f t="shared" si="1"/>
        <v>25</v>
      </c>
      <c r="B33" s="79" t="s">
        <v>103</v>
      </c>
      <c r="C33" s="94" t="s">
        <v>74</v>
      </c>
      <c r="D33" s="95" t="s">
        <v>74</v>
      </c>
      <c r="E33" s="8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ht="12.75" customHeight="1">
      <c r="A34" s="78">
        <f t="shared" si="1"/>
        <v>26</v>
      </c>
      <c r="B34" s="96" t="s">
        <v>105</v>
      </c>
      <c r="C34" s="94" t="s">
        <v>106</v>
      </c>
      <c r="D34" s="97" t="s">
        <v>106</v>
      </c>
      <c r="E34" s="8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ht="12.75" customHeight="1">
      <c r="A35" s="78">
        <f t="shared" si="1"/>
        <v>27</v>
      </c>
      <c r="B35" s="96" t="s">
        <v>105</v>
      </c>
      <c r="C35" s="94" t="s">
        <v>107</v>
      </c>
      <c r="D35" s="97" t="s">
        <v>107</v>
      </c>
      <c r="E35" s="8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12.75" customHeight="1">
      <c r="A36" s="78">
        <f t="shared" si="1"/>
        <v>28</v>
      </c>
      <c r="B36" s="96" t="s">
        <v>105</v>
      </c>
      <c r="C36" s="94" t="s">
        <v>108</v>
      </c>
      <c r="D36" s="97" t="s">
        <v>108</v>
      </c>
      <c r="E36" s="8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ht="12.75" customHeight="1">
      <c r="A37" s="78">
        <f t="shared" si="1"/>
        <v>29</v>
      </c>
      <c r="B37" s="96" t="s">
        <v>105</v>
      </c>
      <c r="C37" s="94" t="s">
        <v>109</v>
      </c>
      <c r="D37" s="97" t="s">
        <v>109</v>
      </c>
      <c r="E37" s="8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ht="12.75" customHeight="1">
      <c r="A38" s="78">
        <f t="shared" si="1"/>
        <v>30</v>
      </c>
      <c r="B38" s="96" t="s">
        <v>105</v>
      </c>
      <c r="C38" s="94" t="s">
        <v>110</v>
      </c>
      <c r="D38" s="97" t="s">
        <v>110</v>
      </c>
      <c r="E38" s="8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ht="12.75" customHeight="1">
      <c r="A39" s="78">
        <f t="shared" si="1"/>
        <v>31</v>
      </c>
      <c r="B39" s="96" t="s">
        <v>105</v>
      </c>
      <c r="C39" s="94" t="s">
        <v>111</v>
      </c>
      <c r="D39" s="97" t="s">
        <v>111</v>
      </c>
      <c r="E39" s="8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ht="12.75" customHeight="1">
      <c r="A40" s="78">
        <f t="shared" si="1"/>
        <v>32</v>
      </c>
      <c r="B40" s="96" t="s">
        <v>112</v>
      </c>
      <c r="C40" s="94" t="s">
        <v>113</v>
      </c>
      <c r="D40" s="97" t="s">
        <v>113</v>
      </c>
      <c r="E40" s="8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12.75" customHeight="1">
      <c r="A41" s="78">
        <f t="shared" si="1"/>
        <v>33</v>
      </c>
      <c r="B41" s="96" t="s">
        <v>112</v>
      </c>
      <c r="C41" s="94" t="s">
        <v>114</v>
      </c>
      <c r="D41" s="97" t="s">
        <v>114</v>
      </c>
      <c r="E41" s="8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ht="12.75" customHeight="1">
      <c r="A42" s="78">
        <f t="shared" si="1"/>
        <v>34</v>
      </c>
      <c r="B42" s="96" t="s">
        <v>112</v>
      </c>
      <c r="C42" s="94" t="s">
        <v>115</v>
      </c>
      <c r="D42" s="98"/>
      <c r="E42" s="8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ht="12.75" customHeight="1">
      <c r="A43" s="78">
        <f t="shared" si="1"/>
        <v>35</v>
      </c>
      <c r="B43" s="96" t="s">
        <v>112</v>
      </c>
      <c r="C43" s="94" t="s">
        <v>116</v>
      </c>
      <c r="D43" s="98"/>
      <c r="E43" s="8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ht="12.75" customHeight="1">
      <c r="A44" s="78">
        <f t="shared" si="1"/>
        <v>36</v>
      </c>
      <c r="B44" s="96" t="s">
        <v>112</v>
      </c>
      <c r="C44" s="94" t="s">
        <v>117</v>
      </c>
      <c r="D44" s="98"/>
      <c r="E44" s="8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ht="12.75" customHeight="1">
      <c r="A45" s="78">
        <f t="shared" si="1"/>
        <v>37</v>
      </c>
      <c r="B45" s="96" t="s">
        <v>112</v>
      </c>
      <c r="C45" s="94" t="s">
        <v>118</v>
      </c>
      <c r="D45" s="98"/>
      <c r="E45" s="8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ht="12.75" customHeight="1">
      <c r="A46" s="78">
        <f t="shared" si="1"/>
        <v>38</v>
      </c>
      <c r="B46" s="96" t="s">
        <v>112</v>
      </c>
      <c r="C46" s="94" t="s">
        <v>119</v>
      </c>
      <c r="D46" s="98"/>
      <c r="E46" s="8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ht="12.75" customHeight="1">
      <c r="A47" s="78">
        <f t="shared" si="1"/>
        <v>39</v>
      </c>
      <c r="B47" s="96" t="s">
        <v>112</v>
      </c>
      <c r="C47" s="94" t="s">
        <v>120</v>
      </c>
      <c r="D47" s="99"/>
      <c r="E47" s="8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12.75" customHeight="1">
      <c r="A48" s="78">
        <f t="shared" si="1"/>
        <v>40</v>
      </c>
      <c r="B48" s="96" t="s">
        <v>121</v>
      </c>
      <c r="C48" s="94" t="s">
        <v>122</v>
      </c>
      <c r="D48" s="100"/>
      <c r="E48" s="8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ht="12.75" customHeight="1">
      <c r="A49" s="78">
        <f t="shared" si="1"/>
        <v>41</v>
      </c>
      <c r="B49" s="96" t="s">
        <v>121</v>
      </c>
      <c r="C49" s="94" t="s">
        <v>123</v>
      </c>
      <c r="D49" s="100"/>
      <c r="E49" s="8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ht="12.75" customHeight="1">
      <c r="A50" s="78">
        <f t="shared" si="1"/>
        <v>42</v>
      </c>
      <c r="B50" s="96" t="s">
        <v>121</v>
      </c>
      <c r="C50" s="94" t="s">
        <v>124</v>
      </c>
      <c r="D50" s="100"/>
      <c r="E50" s="8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ht="12.75" customHeight="1">
      <c r="A51" s="78">
        <f t="shared" si="1"/>
        <v>43</v>
      </c>
      <c r="B51" s="96" t="s">
        <v>125</v>
      </c>
      <c r="C51" s="94" t="s">
        <v>126</v>
      </c>
      <c r="D51" s="100"/>
      <c r="E51" s="8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ht="12.75" customHeight="1">
      <c r="A52" s="78">
        <f t="shared" si="1"/>
        <v>44</v>
      </c>
      <c r="B52" s="96" t="s">
        <v>125</v>
      </c>
      <c r="C52" s="94" t="s">
        <v>127</v>
      </c>
      <c r="D52" s="100"/>
      <c r="E52" s="8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ht="12.75" customHeight="1">
      <c r="A53" s="78">
        <f t="shared" si="1"/>
        <v>45</v>
      </c>
      <c r="B53" s="96" t="s">
        <v>125</v>
      </c>
      <c r="C53" s="94" t="s">
        <v>128</v>
      </c>
      <c r="D53" s="100"/>
      <c r="E53" s="8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ht="12.75" customHeight="1">
      <c r="A54" s="78">
        <f t="shared" si="1"/>
        <v>46</v>
      </c>
      <c r="B54" s="96" t="s">
        <v>125</v>
      </c>
      <c r="C54" s="94" t="s">
        <v>129</v>
      </c>
      <c r="D54" s="100"/>
      <c r="E54" s="8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ht="12.75" customHeight="1">
      <c r="A55" s="101"/>
      <c r="B55" s="102"/>
      <c r="C55" s="103"/>
      <c r="D55" s="100"/>
      <c r="E55" s="8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ht="12.75" customHeight="1">
      <c r="A56" s="101"/>
      <c r="B56" s="102"/>
      <c r="C56" s="103"/>
      <c r="D56" s="100"/>
      <c r="E56" s="8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ht="12.75" customHeight="1">
      <c r="A57" s="101"/>
      <c r="B57" s="102"/>
      <c r="C57" s="103"/>
      <c r="D57" s="100"/>
      <c r="E57" s="8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ht="12.75" customHeight="1">
      <c r="A58" s="101"/>
      <c r="B58" s="102"/>
      <c r="C58" s="103"/>
      <c r="D58" s="100"/>
      <c r="E58" s="8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ht="12.75" customHeight="1">
      <c r="A59" s="101"/>
      <c r="B59" s="102"/>
      <c r="C59" s="103"/>
      <c r="D59" s="100"/>
      <c r="E59" s="8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ht="12.75" customHeight="1">
      <c r="A60" s="104"/>
      <c r="B60" s="105"/>
      <c r="C60" s="106"/>
      <c r="D60" s="107"/>
      <c r="E60" s="8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ht="12.75" customHeight="1">
      <c r="A61" s="108"/>
      <c r="B61" s="109"/>
      <c r="C61" s="110"/>
      <c r="D61" s="109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ht="12.75" customHeight="1">
      <c r="A62" s="62"/>
      <c r="B62" s="64"/>
      <c r="C62" s="63"/>
      <c r="D62" s="64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ht="12.75" customHeight="1">
      <c r="A63" s="62"/>
      <c r="B63" s="64"/>
      <c r="C63" s="63"/>
      <c r="D63" s="64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ht="12.75" customHeight="1">
      <c r="A64" s="62"/>
      <c r="B64" s="64"/>
      <c r="C64" s="63"/>
      <c r="D64" s="64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ht="12.75" customHeight="1">
      <c r="A65" s="62"/>
      <c r="B65" s="64"/>
      <c r="C65" s="63"/>
      <c r="D65" s="64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ht="12.75" customHeight="1">
      <c r="A66" s="62"/>
      <c r="B66" s="64"/>
      <c r="C66" s="63"/>
      <c r="D66" s="6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ht="12.75" customHeight="1">
      <c r="A67" s="62"/>
      <c r="B67" s="64"/>
      <c r="C67" s="63"/>
      <c r="D67" s="64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ht="12.75" customHeight="1">
      <c r="A68" s="62"/>
      <c r="B68" s="64"/>
      <c r="C68" s="63"/>
      <c r="D68" s="64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ht="12.75" customHeight="1">
      <c r="A69" s="62"/>
      <c r="B69" s="64"/>
      <c r="C69" s="63"/>
      <c r="D69" s="64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ht="12.75" customHeight="1">
      <c r="A70" s="62"/>
      <c r="B70" s="64"/>
      <c r="C70" s="63"/>
      <c r="D70" s="64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ht="12.75" customHeight="1">
      <c r="A71" s="62"/>
      <c r="B71" s="64"/>
      <c r="C71" s="63"/>
      <c r="D71" s="64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ht="12.75" customHeight="1">
      <c r="A72" s="62"/>
      <c r="B72" s="64"/>
      <c r="C72" s="63"/>
      <c r="D72" s="64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ht="12.75" customHeight="1">
      <c r="A73" s="62"/>
      <c r="B73" s="64"/>
      <c r="C73" s="63"/>
      <c r="D73" s="64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ht="12.75" customHeight="1">
      <c r="A74" s="62"/>
      <c r="B74" s="64"/>
      <c r="C74" s="63"/>
      <c r="D74" s="64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ht="12.75" customHeight="1">
      <c r="A75" s="62"/>
      <c r="B75" s="64"/>
      <c r="C75" s="63"/>
      <c r="D75" s="64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ht="12.75" customHeight="1">
      <c r="A76" s="62"/>
      <c r="B76" s="64"/>
      <c r="C76" s="63"/>
      <c r="D76" s="64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ht="12.75" customHeight="1">
      <c r="A77" s="62"/>
      <c r="B77" s="64"/>
      <c r="C77" s="63"/>
      <c r="D77" s="64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ht="12.75" customHeight="1">
      <c r="A78" s="62"/>
      <c r="B78" s="64"/>
      <c r="C78" s="63"/>
      <c r="D78" s="64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ht="12.75" customHeight="1">
      <c r="A79" s="62"/>
      <c r="B79" s="64"/>
      <c r="C79" s="63"/>
      <c r="D79" s="64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 ht="12.75" customHeight="1">
      <c r="A80" s="62"/>
      <c r="B80" s="64"/>
      <c r="C80" s="63"/>
      <c r="D80" s="64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ht="12.75" customHeight="1">
      <c r="A81" s="62"/>
      <c r="B81" s="64"/>
      <c r="C81" s="63"/>
      <c r="D81" s="64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 ht="12.75" customHeight="1">
      <c r="A82" s="62"/>
      <c r="B82" s="64"/>
      <c r="C82" s="63"/>
      <c r="D82" s="64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 ht="12.75" customHeight="1">
      <c r="A83" s="62"/>
      <c r="B83" s="64"/>
      <c r="C83" s="63"/>
      <c r="D83" s="64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 ht="12.75" customHeight="1">
      <c r="A84" s="62"/>
      <c r="B84" s="64"/>
      <c r="C84" s="63"/>
      <c r="D84" s="64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 ht="12.75" customHeight="1">
      <c r="A85" s="62"/>
      <c r="B85" s="64"/>
      <c r="C85" s="63"/>
      <c r="D85" s="64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 ht="12.75" customHeight="1">
      <c r="A86" s="62"/>
      <c r="B86" s="64"/>
      <c r="C86" s="63"/>
      <c r="D86" s="64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ht="12.75" customHeight="1">
      <c r="A87" s="62"/>
      <c r="B87" s="64"/>
      <c r="C87" s="63"/>
      <c r="D87" s="64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 ht="12.75" customHeight="1">
      <c r="A88" s="62"/>
      <c r="B88" s="64"/>
      <c r="C88" s="63"/>
      <c r="D88" s="6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 ht="12.75" customHeight="1">
      <c r="A89" s="62"/>
      <c r="B89" s="64"/>
      <c r="C89" s="63"/>
      <c r="D89" s="6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ht="12.75" customHeight="1">
      <c r="A90" s="62"/>
      <c r="B90" s="64"/>
      <c r="C90" s="63"/>
      <c r="D90" s="64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ht="12.75" customHeight="1">
      <c r="A91" s="62"/>
      <c r="B91" s="64"/>
      <c r="C91" s="63"/>
      <c r="D91" s="64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ht="12.75" customHeight="1">
      <c r="A92" s="62"/>
      <c r="B92" s="64"/>
      <c r="C92" s="63"/>
      <c r="D92" s="64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ht="12.75" customHeight="1">
      <c r="A93" s="62"/>
      <c r="B93" s="64"/>
      <c r="C93" s="63"/>
      <c r="D93" s="64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ht="12.75" customHeight="1">
      <c r="A94" s="62"/>
      <c r="B94" s="64"/>
      <c r="C94" s="63"/>
      <c r="D94" s="64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ht="12.75" customHeight="1">
      <c r="A95" s="62"/>
      <c r="B95" s="64"/>
      <c r="C95" s="63"/>
      <c r="D95" s="64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ht="12.75" customHeight="1">
      <c r="A96" s="62"/>
      <c r="B96" s="64"/>
      <c r="C96" s="63"/>
      <c r="D96" s="64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ht="12.75" customHeight="1">
      <c r="A97" s="62"/>
      <c r="B97" s="64"/>
      <c r="C97" s="63"/>
      <c r="D97" s="64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ht="12.75" customHeight="1">
      <c r="A98" s="62"/>
      <c r="B98" s="64"/>
      <c r="C98" s="63"/>
      <c r="D98" s="64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ht="12.75" customHeight="1">
      <c r="A99" s="62"/>
      <c r="B99" s="64"/>
      <c r="C99" s="63"/>
      <c r="D99" s="64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ht="12.75" customHeight="1">
      <c r="A100" s="62"/>
      <c r="B100" s="64"/>
      <c r="C100" s="63"/>
      <c r="D100" s="64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ht="12.75" customHeight="1">
      <c r="A101" s="62"/>
      <c r="B101" s="64"/>
      <c r="C101" s="63"/>
      <c r="D101" s="64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ht="12.75" customHeight="1">
      <c r="A102" s="62"/>
      <c r="B102" s="64"/>
      <c r="C102" s="63"/>
      <c r="D102" s="64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ht="12.75" customHeight="1">
      <c r="A103" s="62"/>
      <c r="B103" s="64"/>
      <c r="C103" s="63"/>
      <c r="D103" s="64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ht="12.75" customHeight="1">
      <c r="A104" s="62"/>
      <c r="B104" s="64"/>
      <c r="C104" s="63"/>
      <c r="D104" s="64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ht="12.75" customHeight="1">
      <c r="A105" s="62"/>
      <c r="B105" s="64"/>
      <c r="C105" s="63"/>
      <c r="D105" s="64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ht="12.75" customHeight="1">
      <c r="A106" s="62"/>
      <c r="B106" s="64"/>
      <c r="C106" s="63"/>
      <c r="D106" s="64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ht="12.75" customHeight="1">
      <c r="A107" s="62"/>
      <c r="B107" s="64"/>
      <c r="C107" s="63"/>
      <c r="D107" s="64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ht="12.75" customHeight="1">
      <c r="A108" s="62"/>
      <c r="B108" s="64"/>
      <c r="C108" s="63"/>
      <c r="D108" s="64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ht="12.75" customHeight="1">
      <c r="A109" s="62"/>
      <c r="B109" s="64"/>
      <c r="C109" s="63"/>
      <c r="D109" s="64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ht="12.75" customHeight="1">
      <c r="A110" s="62"/>
      <c r="B110" s="64"/>
      <c r="C110" s="63"/>
      <c r="D110" s="64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ht="12.75" customHeight="1">
      <c r="A111" s="62"/>
      <c r="B111" s="64"/>
      <c r="C111" s="63"/>
      <c r="D111" s="64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ht="12.75" customHeight="1">
      <c r="A112" s="62"/>
      <c r="B112" s="64"/>
      <c r="C112" s="63"/>
      <c r="D112" s="64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ht="12.75" customHeight="1">
      <c r="A113" s="62"/>
      <c r="B113" s="64"/>
      <c r="C113" s="63"/>
      <c r="D113" s="64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ht="12.75" customHeight="1">
      <c r="A114" s="62"/>
      <c r="B114" s="64"/>
      <c r="C114" s="63"/>
      <c r="D114" s="64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ht="12.75" customHeight="1">
      <c r="A115" s="62"/>
      <c r="B115" s="64"/>
      <c r="C115" s="63"/>
      <c r="D115" s="64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ht="12.75" customHeight="1">
      <c r="A116" s="62"/>
      <c r="B116" s="64"/>
      <c r="C116" s="63"/>
      <c r="D116" s="64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ht="12.75" customHeight="1">
      <c r="A117" s="62"/>
      <c r="B117" s="64"/>
      <c r="C117" s="63"/>
      <c r="D117" s="64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ht="12.75" customHeight="1">
      <c r="A118" s="62"/>
      <c r="B118" s="64"/>
      <c r="C118" s="63"/>
      <c r="D118" s="64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ht="12.75" customHeight="1">
      <c r="A119" s="62"/>
      <c r="B119" s="64"/>
      <c r="C119" s="63"/>
      <c r="D119" s="64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 ht="12.75" customHeight="1">
      <c r="A120" s="62"/>
      <c r="B120" s="64"/>
      <c r="C120" s="63"/>
      <c r="D120" s="64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ht="12.75" customHeight="1">
      <c r="A121" s="62"/>
      <c r="B121" s="64"/>
      <c r="C121" s="63"/>
      <c r="D121" s="64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ht="12.75" customHeight="1">
      <c r="A122" s="62"/>
      <c r="B122" s="64"/>
      <c r="C122" s="63"/>
      <c r="D122" s="64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ht="12.75" customHeight="1">
      <c r="A123" s="62"/>
      <c r="B123" s="64"/>
      <c r="C123" s="63"/>
      <c r="D123" s="64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ht="12.75" customHeight="1">
      <c r="A124" s="62"/>
      <c r="B124" s="64"/>
      <c r="C124" s="63"/>
      <c r="D124" s="64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ht="12.75" customHeight="1">
      <c r="A125" s="62"/>
      <c r="B125" s="64"/>
      <c r="C125" s="63"/>
      <c r="D125" s="64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ht="12.75" customHeight="1">
      <c r="A126" s="62"/>
      <c r="B126" s="64"/>
      <c r="C126" s="63"/>
      <c r="D126" s="64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ht="12.75" customHeight="1">
      <c r="A127" s="62"/>
      <c r="B127" s="64"/>
      <c r="C127" s="63"/>
      <c r="D127" s="64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ht="12.75" customHeight="1">
      <c r="A128" s="62"/>
      <c r="B128" s="64"/>
      <c r="C128" s="63"/>
      <c r="D128" s="64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ht="12.75" customHeight="1">
      <c r="A129" s="62"/>
      <c r="B129" s="64"/>
      <c r="C129" s="63"/>
      <c r="D129" s="64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ht="12.75" customHeight="1">
      <c r="A130" s="62"/>
      <c r="B130" s="64"/>
      <c r="C130" s="63"/>
      <c r="D130" s="64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ht="12.75" customHeight="1">
      <c r="A131" s="62"/>
      <c r="B131" s="64"/>
      <c r="C131" s="63"/>
      <c r="D131" s="64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ht="12.75" customHeight="1">
      <c r="A132" s="62"/>
      <c r="B132" s="64"/>
      <c r="C132" s="63"/>
      <c r="D132" s="64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ht="12.75" customHeight="1">
      <c r="A133" s="62"/>
      <c r="B133" s="64"/>
      <c r="C133" s="63"/>
      <c r="D133" s="64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ht="12.75" customHeight="1">
      <c r="A134" s="62"/>
      <c r="B134" s="64"/>
      <c r="C134" s="63"/>
      <c r="D134" s="64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ht="12.75" customHeight="1">
      <c r="A135" s="62"/>
      <c r="B135" s="64"/>
      <c r="C135" s="63"/>
      <c r="D135" s="64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ht="12.75" customHeight="1">
      <c r="A136" s="62"/>
      <c r="B136" s="64"/>
      <c r="C136" s="63"/>
      <c r="D136" s="64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 ht="12.75" customHeight="1">
      <c r="A137" s="62"/>
      <c r="B137" s="64"/>
      <c r="C137" s="63"/>
      <c r="D137" s="64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 ht="12.75" customHeight="1">
      <c r="A138" s="62"/>
      <c r="B138" s="64"/>
      <c r="C138" s="63"/>
      <c r="D138" s="64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 ht="12.75" customHeight="1">
      <c r="A139" s="62"/>
      <c r="B139" s="64"/>
      <c r="C139" s="63"/>
      <c r="D139" s="64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 ht="12.75" customHeight="1">
      <c r="A140" s="62"/>
      <c r="B140" s="64"/>
      <c r="C140" s="63"/>
      <c r="D140" s="64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 ht="12.75" customHeight="1">
      <c r="A141" s="62"/>
      <c r="B141" s="64"/>
      <c r="C141" s="63"/>
      <c r="D141" s="64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 ht="12.75" customHeight="1">
      <c r="A142" s="62"/>
      <c r="B142" s="64"/>
      <c r="C142" s="63"/>
      <c r="D142" s="64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 ht="12.75" customHeight="1">
      <c r="A143" s="62"/>
      <c r="B143" s="64"/>
      <c r="C143" s="63"/>
      <c r="D143" s="64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ht="12.75" customHeight="1">
      <c r="A144" s="62"/>
      <c r="B144" s="64"/>
      <c r="C144" s="63"/>
      <c r="D144" s="64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ht="12.75" customHeight="1">
      <c r="A145" s="62"/>
      <c r="B145" s="64"/>
      <c r="C145" s="63"/>
      <c r="D145" s="64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ht="12.75" customHeight="1">
      <c r="A146" s="62"/>
      <c r="B146" s="64"/>
      <c r="C146" s="63"/>
      <c r="D146" s="64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ht="12.75" customHeight="1">
      <c r="A147" s="62"/>
      <c r="B147" s="64"/>
      <c r="C147" s="63"/>
      <c r="D147" s="64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ht="12.75" customHeight="1">
      <c r="A148" s="62"/>
      <c r="B148" s="64"/>
      <c r="C148" s="63"/>
      <c r="D148" s="64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ht="12.75" customHeight="1">
      <c r="A149" s="62"/>
      <c r="B149" s="64"/>
      <c r="C149" s="63"/>
      <c r="D149" s="64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ht="12.75" customHeight="1">
      <c r="A150" s="62"/>
      <c r="B150" s="64"/>
      <c r="C150" s="63"/>
      <c r="D150" s="64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ht="12.75" customHeight="1">
      <c r="A151" s="62"/>
      <c r="B151" s="64"/>
      <c r="C151" s="63"/>
      <c r="D151" s="64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ht="12.75" customHeight="1">
      <c r="A152" s="62"/>
      <c r="B152" s="64"/>
      <c r="C152" s="63"/>
      <c r="D152" s="64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ht="12.75" customHeight="1">
      <c r="A153" s="62"/>
      <c r="B153" s="64"/>
      <c r="C153" s="63"/>
      <c r="D153" s="64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ht="12.75" customHeight="1">
      <c r="A154" s="62"/>
      <c r="B154" s="64"/>
      <c r="C154" s="63"/>
      <c r="D154" s="64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ht="12.75" customHeight="1">
      <c r="A155" s="62"/>
      <c r="B155" s="64"/>
      <c r="C155" s="63"/>
      <c r="D155" s="64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ht="12.75" customHeight="1">
      <c r="A156" s="62"/>
      <c r="B156" s="64"/>
      <c r="C156" s="63"/>
      <c r="D156" s="64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ht="12.75" customHeight="1">
      <c r="A157" s="62"/>
      <c r="B157" s="64"/>
      <c r="C157" s="63"/>
      <c r="D157" s="64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ht="12.75" customHeight="1">
      <c r="A158" s="62"/>
      <c r="B158" s="64"/>
      <c r="C158" s="63"/>
      <c r="D158" s="64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ht="12.75" customHeight="1">
      <c r="A159" s="62"/>
      <c r="B159" s="64"/>
      <c r="C159" s="63"/>
      <c r="D159" s="64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ht="12.75" customHeight="1">
      <c r="A160" s="62"/>
      <c r="B160" s="64"/>
      <c r="C160" s="63"/>
      <c r="D160" s="64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ht="12.75" customHeight="1">
      <c r="A161" s="62"/>
      <c r="B161" s="64"/>
      <c r="C161" s="63"/>
      <c r="D161" s="64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ht="12.75" customHeight="1">
      <c r="A162" s="62"/>
      <c r="B162" s="64"/>
      <c r="C162" s="63"/>
      <c r="D162" s="64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ht="12.75" customHeight="1">
      <c r="A163" s="62"/>
      <c r="B163" s="64"/>
      <c r="C163" s="63"/>
      <c r="D163" s="64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ht="12.75" customHeight="1">
      <c r="A164" s="62"/>
      <c r="B164" s="64"/>
      <c r="C164" s="63"/>
      <c r="D164" s="64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ht="12.75" customHeight="1">
      <c r="A165" s="62"/>
      <c r="B165" s="64"/>
      <c r="C165" s="63"/>
      <c r="D165" s="64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ht="12.75" customHeight="1">
      <c r="A166" s="62"/>
      <c r="B166" s="64"/>
      <c r="C166" s="63"/>
      <c r="D166" s="64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ht="12.75" customHeight="1">
      <c r="A167" s="62"/>
      <c r="B167" s="64"/>
      <c r="C167" s="63"/>
      <c r="D167" s="64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ht="12.75" customHeight="1">
      <c r="A168" s="62"/>
      <c r="B168" s="64"/>
      <c r="C168" s="63"/>
      <c r="D168" s="64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ht="12.75" customHeight="1">
      <c r="A169" s="62"/>
      <c r="B169" s="64"/>
      <c r="C169" s="63"/>
      <c r="D169" s="64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ht="12.75" customHeight="1">
      <c r="A170" s="62"/>
      <c r="B170" s="64"/>
      <c r="C170" s="63"/>
      <c r="D170" s="64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ht="12.75" customHeight="1">
      <c r="A171" s="62"/>
      <c r="B171" s="64"/>
      <c r="C171" s="63"/>
      <c r="D171" s="64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ht="12.75" customHeight="1">
      <c r="A172" s="62"/>
      <c r="B172" s="64"/>
      <c r="C172" s="63"/>
      <c r="D172" s="64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ht="12.75" customHeight="1">
      <c r="A173" s="62"/>
      <c r="B173" s="64"/>
      <c r="C173" s="63"/>
      <c r="D173" s="64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ht="12.75" customHeight="1">
      <c r="A174" s="62"/>
      <c r="B174" s="64"/>
      <c r="C174" s="63"/>
      <c r="D174" s="64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ht="12.75" customHeight="1">
      <c r="A175" s="62"/>
      <c r="B175" s="64"/>
      <c r="C175" s="63"/>
      <c r="D175" s="64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ht="12.75" customHeight="1">
      <c r="A176" s="62"/>
      <c r="B176" s="64"/>
      <c r="C176" s="63"/>
      <c r="D176" s="64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ht="12.75" customHeight="1">
      <c r="A177" s="62"/>
      <c r="B177" s="64"/>
      <c r="C177" s="63"/>
      <c r="D177" s="6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ht="12.75" customHeight="1">
      <c r="A178" s="62"/>
      <c r="B178" s="64"/>
      <c r="C178" s="63"/>
      <c r="D178" s="6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ht="12.75" customHeight="1">
      <c r="A179" s="62"/>
      <c r="B179" s="64"/>
      <c r="C179" s="63"/>
      <c r="D179" s="6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ht="12.75" customHeight="1">
      <c r="A180" s="62"/>
      <c r="B180" s="64"/>
      <c r="C180" s="63"/>
      <c r="D180" s="6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ht="12.75" customHeight="1">
      <c r="A181" s="62"/>
      <c r="B181" s="64"/>
      <c r="C181" s="63"/>
      <c r="D181" s="6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ht="12.75" customHeight="1">
      <c r="A182" s="62"/>
      <c r="B182" s="64"/>
      <c r="C182" s="63"/>
      <c r="D182" s="6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ht="12.75" customHeight="1">
      <c r="A183" s="62"/>
      <c r="B183" s="64"/>
      <c r="C183" s="63"/>
      <c r="D183" s="6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ht="12.75" customHeight="1">
      <c r="A184" s="62"/>
      <c r="B184" s="64"/>
      <c r="C184" s="63"/>
      <c r="D184" s="6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ht="12.75" customHeight="1">
      <c r="A185" s="62"/>
      <c r="B185" s="64"/>
      <c r="C185" s="63"/>
      <c r="D185" s="6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ht="12.75" customHeight="1">
      <c r="A186" s="62"/>
      <c r="B186" s="64"/>
      <c r="C186" s="63"/>
      <c r="D186" s="6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ht="12.75" customHeight="1">
      <c r="A187" s="62"/>
      <c r="B187" s="64"/>
      <c r="C187" s="63"/>
      <c r="D187" s="6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ht="12.75" customHeight="1">
      <c r="A188" s="62"/>
      <c r="B188" s="64"/>
      <c r="C188" s="63"/>
      <c r="D188" s="6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ht="12.75" customHeight="1">
      <c r="A189" s="62"/>
      <c r="B189" s="64"/>
      <c r="C189" s="63"/>
      <c r="D189" s="6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ht="12.75" customHeight="1">
      <c r="A190" s="62"/>
      <c r="B190" s="64"/>
      <c r="C190" s="63"/>
      <c r="D190" s="6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ht="12.75" customHeight="1">
      <c r="A191" s="62"/>
      <c r="B191" s="64"/>
      <c r="C191" s="63"/>
      <c r="D191" s="6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ht="12.75" customHeight="1">
      <c r="A192" s="62"/>
      <c r="B192" s="64"/>
      <c r="C192" s="63"/>
      <c r="D192" s="6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ht="12.75" customHeight="1">
      <c r="A193" s="62"/>
      <c r="B193" s="64"/>
      <c r="C193" s="63"/>
      <c r="D193" s="6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ht="12.75" customHeight="1">
      <c r="A194" s="62"/>
      <c r="B194" s="64"/>
      <c r="C194" s="63"/>
      <c r="D194" s="6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ht="12.75" customHeight="1">
      <c r="A195" s="62"/>
      <c r="B195" s="64"/>
      <c r="C195" s="63"/>
      <c r="D195" s="6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ht="12.75" customHeight="1">
      <c r="A196" s="62"/>
      <c r="B196" s="64"/>
      <c r="C196" s="63"/>
      <c r="D196" s="6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ht="12.75" customHeight="1">
      <c r="A197" s="62"/>
      <c r="B197" s="64"/>
      <c r="C197" s="63"/>
      <c r="D197" s="6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ht="12.75" customHeight="1">
      <c r="A198" s="62"/>
      <c r="B198" s="64"/>
      <c r="C198" s="63"/>
      <c r="D198" s="6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ht="12.75" customHeight="1">
      <c r="A199" s="62"/>
      <c r="B199" s="64"/>
      <c r="C199" s="63"/>
      <c r="D199" s="6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ht="12.75" customHeight="1">
      <c r="A200" s="62"/>
      <c r="B200" s="64"/>
      <c r="C200" s="63"/>
      <c r="D200" s="6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ht="12.75" customHeight="1">
      <c r="A201" s="62"/>
      <c r="B201" s="64"/>
      <c r="C201" s="63"/>
      <c r="D201" s="6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ht="12.75" customHeight="1">
      <c r="A202" s="62"/>
      <c r="B202" s="64"/>
      <c r="C202" s="63"/>
      <c r="D202" s="6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ht="12.75" customHeight="1">
      <c r="A203" s="62"/>
      <c r="B203" s="64"/>
      <c r="C203" s="63"/>
      <c r="D203" s="6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ht="12.75" customHeight="1">
      <c r="A204" s="62"/>
      <c r="B204" s="64"/>
      <c r="C204" s="63"/>
      <c r="D204" s="6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ht="12.75" customHeight="1">
      <c r="A205" s="62"/>
      <c r="B205" s="64"/>
      <c r="C205" s="63"/>
      <c r="D205" s="6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ht="12.75" customHeight="1">
      <c r="A206" s="62"/>
      <c r="B206" s="64"/>
      <c r="C206" s="63"/>
      <c r="D206" s="6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ht="12.75" customHeight="1">
      <c r="A207" s="62"/>
      <c r="B207" s="64"/>
      <c r="C207" s="63"/>
      <c r="D207" s="6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ht="12.75" customHeight="1">
      <c r="A208" s="62"/>
      <c r="B208" s="64"/>
      <c r="C208" s="63"/>
      <c r="D208" s="6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ht="12.75" customHeight="1">
      <c r="A209" s="62"/>
      <c r="B209" s="64"/>
      <c r="C209" s="63"/>
      <c r="D209" s="6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ht="12.75" customHeight="1">
      <c r="A210" s="62"/>
      <c r="B210" s="64"/>
      <c r="C210" s="63"/>
      <c r="D210" s="6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ht="12.75" customHeight="1">
      <c r="A211" s="62"/>
      <c r="B211" s="64"/>
      <c r="C211" s="63"/>
      <c r="D211" s="6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ht="12.75" customHeight="1">
      <c r="A212" s="62"/>
      <c r="B212" s="64"/>
      <c r="C212" s="63"/>
      <c r="D212" s="6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ht="12.75" customHeight="1">
      <c r="A213" s="62"/>
      <c r="B213" s="64"/>
      <c r="C213" s="63"/>
      <c r="D213" s="6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ht="12.75" customHeight="1">
      <c r="A214" s="62"/>
      <c r="B214" s="64"/>
      <c r="C214" s="63"/>
      <c r="D214" s="6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ht="12.75" customHeight="1">
      <c r="A215" s="62"/>
      <c r="B215" s="64"/>
      <c r="C215" s="63"/>
      <c r="D215" s="6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ht="12.75" customHeight="1">
      <c r="A216" s="62"/>
      <c r="B216" s="64"/>
      <c r="C216" s="63"/>
      <c r="D216" s="6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ht="12.75" customHeight="1">
      <c r="A217" s="62"/>
      <c r="B217" s="64"/>
      <c r="C217" s="63"/>
      <c r="D217" s="6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ht="12.75" customHeight="1">
      <c r="A218" s="62"/>
      <c r="B218" s="64"/>
      <c r="C218" s="63"/>
      <c r="D218" s="6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ht="12.75" customHeight="1">
      <c r="A219" s="62"/>
      <c r="B219" s="64"/>
      <c r="C219" s="63"/>
      <c r="D219" s="6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ht="12.75" customHeight="1">
      <c r="A220" s="62"/>
      <c r="B220" s="64"/>
      <c r="C220" s="63"/>
      <c r="D220" s="6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ht="12.75" customHeight="1">
      <c r="A221" s="62"/>
      <c r="B221" s="64"/>
      <c r="C221" s="63"/>
      <c r="D221" s="6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ht="12.75" customHeight="1">
      <c r="A222" s="62"/>
      <c r="B222" s="64"/>
      <c r="C222" s="63"/>
      <c r="D222" s="6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ht="12.75" customHeight="1">
      <c r="A223" s="62"/>
      <c r="B223" s="64"/>
      <c r="C223" s="63"/>
      <c r="D223" s="6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ht="12.75" customHeight="1">
      <c r="A224" s="62"/>
      <c r="B224" s="64"/>
      <c r="C224" s="63"/>
      <c r="D224" s="6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ht="12.75" customHeight="1">
      <c r="A225" s="62"/>
      <c r="B225" s="64"/>
      <c r="C225" s="63"/>
      <c r="D225" s="6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ht="12.75" customHeight="1">
      <c r="A226" s="62"/>
      <c r="B226" s="64"/>
      <c r="C226" s="63"/>
      <c r="D226" s="6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ht="12.75" customHeight="1">
      <c r="A227" s="62"/>
      <c r="B227" s="64"/>
      <c r="C227" s="63"/>
      <c r="D227" s="6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ht="12.75" customHeight="1">
      <c r="A228" s="62"/>
      <c r="B228" s="64"/>
      <c r="C228" s="63"/>
      <c r="D228" s="64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ht="12.75" customHeight="1">
      <c r="A229" s="62"/>
      <c r="B229" s="64"/>
      <c r="C229" s="63"/>
      <c r="D229" s="64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ht="12.75" customHeight="1">
      <c r="A230" s="62"/>
      <c r="B230" s="64"/>
      <c r="C230" s="63"/>
      <c r="D230" s="64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ht="12.75" customHeight="1">
      <c r="A231" s="62"/>
      <c r="B231" s="64"/>
      <c r="C231" s="63"/>
      <c r="D231" s="64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ht="12.75" customHeight="1">
      <c r="A232" s="62"/>
      <c r="B232" s="64"/>
      <c r="C232" s="63"/>
      <c r="D232" s="64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ht="12.75" customHeight="1">
      <c r="A233" s="62"/>
      <c r="B233" s="64"/>
      <c r="C233" s="63"/>
      <c r="D233" s="64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ht="12.75" customHeight="1">
      <c r="A234" s="62"/>
      <c r="B234" s="64"/>
      <c r="C234" s="63"/>
      <c r="D234" s="64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ht="12.75" customHeight="1">
      <c r="A235" s="62"/>
      <c r="B235" s="64"/>
      <c r="C235" s="63"/>
      <c r="D235" s="64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ht="12.75" customHeight="1">
      <c r="A236" s="62"/>
      <c r="B236" s="64"/>
      <c r="C236" s="63"/>
      <c r="D236" s="64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ht="12.75" customHeight="1">
      <c r="A237" s="62"/>
      <c r="B237" s="64"/>
      <c r="C237" s="63"/>
      <c r="D237" s="64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ht="12.75" customHeight="1">
      <c r="A238" s="62"/>
      <c r="B238" s="64"/>
      <c r="C238" s="63"/>
      <c r="D238" s="64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ht="12.75" customHeight="1">
      <c r="A239" s="62"/>
      <c r="B239" s="64"/>
      <c r="C239" s="63"/>
      <c r="D239" s="64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ht="12.75" customHeight="1">
      <c r="A240" s="62"/>
      <c r="B240" s="64"/>
      <c r="C240" s="63"/>
      <c r="D240" s="64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ht="12.75" customHeight="1">
      <c r="A241" s="62"/>
      <c r="B241" s="64"/>
      <c r="C241" s="63"/>
      <c r="D241" s="64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ht="12.75" customHeight="1">
      <c r="A242" s="62"/>
      <c r="B242" s="64"/>
      <c r="C242" s="63"/>
      <c r="D242" s="64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ht="12.75" customHeight="1">
      <c r="A243" s="62"/>
      <c r="B243" s="64"/>
      <c r="C243" s="63"/>
      <c r="D243" s="64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ht="12.75" customHeight="1">
      <c r="A244" s="62"/>
      <c r="B244" s="64"/>
      <c r="C244" s="63"/>
      <c r="D244" s="64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ht="12.75" customHeight="1">
      <c r="A245" s="62"/>
      <c r="B245" s="64"/>
      <c r="C245" s="63"/>
      <c r="D245" s="64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ht="12.75" customHeight="1">
      <c r="A246" s="62"/>
      <c r="B246" s="64"/>
      <c r="C246" s="63"/>
      <c r="D246" s="64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ht="12.75" customHeight="1">
      <c r="A247" s="62"/>
      <c r="B247" s="64"/>
      <c r="C247" s="63"/>
      <c r="D247" s="64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 ht="12.75" customHeight="1">
      <c r="A248" s="62"/>
      <c r="B248" s="64"/>
      <c r="C248" s="63"/>
      <c r="D248" s="64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 ht="12.75" customHeight="1">
      <c r="A249" s="62"/>
      <c r="B249" s="64"/>
      <c r="C249" s="63"/>
      <c r="D249" s="64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 ht="12.75" customHeight="1">
      <c r="A250" s="62"/>
      <c r="B250" s="64"/>
      <c r="C250" s="63"/>
      <c r="D250" s="64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 ht="12.75" customHeight="1">
      <c r="A251" s="62"/>
      <c r="B251" s="64"/>
      <c r="C251" s="63"/>
      <c r="D251" s="64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 ht="12.75" customHeight="1">
      <c r="A252" s="62"/>
      <c r="B252" s="64"/>
      <c r="C252" s="63"/>
      <c r="D252" s="64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 ht="12.75" customHeight="1">
      <c r="A253" s="62"/>
      <c r="B253" s="64"/>
      <c r="C253" s="63"/>
      <c r="D253" s="64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 ht="12.75" customHeight="1">
      <c r="A254" s="62"/>
      <c r="B254" s="64"/>
      <c r="C254" s="63"/>
      <c r="D254" s="64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 ht="12.75" customHeight="1">
      <c r="A255" s="62"/>
      <c r="B255" s="64"/>
      <c r="C255" s="63"/>
      <c r="D255" s="64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 ht="12.75" customHeight="1">
      <c r="A256" s="62"/>
      <c r="B256" s="64"/>
      <c r="C256" s="63"/>
      <c r="D256" s="64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 ht="15.75" customHeight="1">
      <c r="B257" s="64"/>
    </row>
    <row r="258" ht="15.75" customHeight="1">
      <c r="B258" s="6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6">
    <mergeCell ref="A4:B4"/>
    <mergeCell ref="C4:D4"/>
    <mergeCell ref="A5:B5"/>
    <mergeCell ref="C5:D5"/>
    <mergeCell ref="A6:B6"/>
    <mergeCell ref="C6:D6"/>
  </mergeCells>
  <hyperlinks>
    <hyperlink display="login" location="login!A1" ref="D9"/>
    <hyperlink display="refreshToken" location="refreshToken!A1" ref="D10"/>
    <hyperlink display="validateUserAccess" location="validateUserAccess!A1" ref="D11"/>
    <hyperlink display="getUserInfo" location="getUserInfo!A1" ref="D12"/>
    <hyperlink display="getUserTenants" location="getUserTenants!A1" ref="D13"/>
    <hyperlink display="getUserRolesInTenant" location="getUserRolesInTenant!A1" ref="D14"/>
    <hyperlink display="getUserStatus" location="getUserStatus!A1" ref="D15"/>
    <hyperlink display="grantPermissionsToUser" location="grantPermissionsToUser!A1" ref="D16"/>
    <hyperlink display="denyPermissionsFromUser" location="denyPermissionsFromUser!A1" ref="D17"/>
    <hyperlink display="revokeGrantsFromUser" location="revokeGrantsFromUser!A1" ref="D18"/>
    <hyperlink display="revokeDeniesFromUser" location="revokeDeniesFromUser!A1" ref="D19"/>
    <hyperlink display="getUserPermissionSummary" location="getUserPermissionSummary!A1" ref="D20"/>
    <hyperlink display="getActiveGrants" location="getActiveGrants!A1" ref="D21"/>
    <hyperlink display="getActiveDenies" location="getActiveDenies!A1" ref="D22"/>
    <hyperlink display="findAll" location="findAll!A1" ref="D23"/>
    <hyperlink display="getBuildingById" location="getBuildingById!A1" ref="D24"/>
    <hyperlink display="createBuilding" location="createBuilding!A1" ref="D25"/>
    <hyperlink display="updateBuilding" location="updateBuilding!A1" ref="D26"/>
    <hyperlink display="getUnitById" location="getUnitById!A1" ref="D27"/>
    <hyperlink display="getUnitsByBuildingId" location="getUnitsByBuildingId!A1" ref="D28"/>
    <hyperlink display="getUnitsByTenantId" location="getUnitsByTenantId!A1" ref="D29"/>
    <hyperlink display="getUnitsByFloor" location="getUnitsByFloor!A1" ref="D30"/>
    <hyperlink display="createUnit" location="createUnit!A1" ref="D31"/>
    <hyperlink display="updateUnit" location="updateUnit!A1" ref="D32"/>
    <hyperlink display="deleteUnit" location="deleteUnit!A1" ref="D33"/>
    <hyperlink display="createVehicle" location="createVehicle!A1" ref="D34"/>
    <hyperlink display="updateVehicle" location="updateVehicle!A1" ref="D35"/>
    <hyperlink display="deleteVehicle" location="deleteVehicle!A1" ref="D36"/>
    <hyperlink display="getVehicleById" location="getVehicleById!A1" ref="D37"/>
    <hyperlink display="getVehiclesByUnitId" location="getVehiclesByUnitId!A1" ref="D38"/>
    <hyperlink display="changeVehicleStatus" location="changeVehicleStatus!A1" ref="D39"/>
    <hyperlink display="getInvoicesByResident" location="getInvoicesByResident!A1" ref="D40"/>
    <hyperlink display="getUnpaidInvoicesByResident" location="getUnpaidInvoicesByResident!A1" ref="D41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5" width="12.63"/>
    <col customWidth="1" min="6" max="8" width="5.13"/>
    <col customWidth="1" min="9" max="9" width="21.0"/>
    <col customWidth="1" min="10" max="26" width="8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>
      <c r="A2" s="111" t="s">
        <v>130</v>
      </c>
      <c r="B2" s="112"/>
      <c r="C2" s="112"/>
      <c r="D2" s="112"/>
      <c r="E2" s="112"/>
      <c r="F2" s="112"/>
      <c r="G2" s="112"/>
      <c r="H2" s="112"/>
      <c r="I2" s="11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113"/>
      <c r="B3" s="21"/>
      <c r="C3" s="21"/>
      <c r="D3" s="21"/>
      <c r="E3" s="21"/>
      <c r="F3" s="21"/>
      <c r="G3" s="21"/>
      <c r="H3" s="21"/>
      <c r="I3" s="11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115" t="s">
        <v>45</v>
      </c>
      <c r="B4" s="68" t="str">
        <f>Cover!B4</f>
        <v>QHome Apartment Management System</v>
      </c>
      <c r="C4" s="17"/>
      <c r="D4" s="116" t="s">
        <v>47</v>
      </c>
      <c r="E4" s="17"/>
      <c r="F4" s="117" t="s">
        <v>48</v>
      </c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115" t="s">
        <v>49</v>
      </c>
      <c r="B5" s="68" t="str">
        <f>Cover!B5</f>
        <v>QHome</v>
      </c>
      <c r="C5" s="17"/>
      <c r="D5" s="116" t="s">
        <v>131</v>
      </c>
      <c r="E5" s="17"/>
      <c r="F5" s="117"/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6" t="s">
        <v>52</v>
      </c>
      <c r="B6" s="68" t="str">
        <f>B5&amp;"_"&amp;"Test Report"&amp;"_"&amp;"v1.0"</f>
        <v>QHome_Test Report_v1.0</v>
      </c>
      <c r="C6" s="17"/>
      <c r="D6" s="116" t="s">
        <v>51</v>
      </c>
      <c r="E6" s="17"/>
      <c r="F6" s="118">
        <v>45575.0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 t="s">
        <v>132</v>
      </c>
      <c r="B7" s="119"/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20"/>
      <c r="B8" s="121"/>
      <c r="C8" s="21"/>
      <c r="D8" s="21"/>
      <c r="E8" s="21"/>
      <c r="F8" s="21"/>
      <c r="G8" s="21"/>
      <c r="H8" s="21"/>
      <c r="I8" s="11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120"/>
      <c r="B9" s="121"/>
      <c r="C9" s="21"/>
      <c r="D9" s="21"/>
      <c r="E9" s="21"/>
      <c r="F9" s="21"/>
      <c r="G9" s="21"/>
      <c r="H9" s="21"/>
      <c r="I9" s="11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22" t="s">
        <v>92</v>
      </c>
      <c r="B11" s="123" t="s">
        <v>133</v>
      </c>
      <c r="C11" s="124" t="s">
        <v>134</v>
      </c>
      <c r="D11" s="123" t="s">
        <v>135</v>
      </c>
      <c r="E11" s="125" t="s">
        <v>136</v>
      </c>
      <c r="F11" s="125" t="s">
        <v>137</v>
      </c>
      <c r="G11" s="125" t="s">
        <v>61</v>
      </c>
      <c r="H11" s="125" t="s">
        <v>138</v>
      </c>
      <c r="I11" s="126" t="s">
        <v>139</v>
      </c>
      <c r="J11" s="8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127">
        <f t="shared" ref="A12:A41" si="1">ROW() - 11</f>
        <v>1</v>
      </c>
      <c r="B12" s="128" t="s">
        <v>63</v>
      </c>
      <c r="C12" s="129">
        <f t="shared" ref="C12:C41" si="2">INDIRECT(("'"&amp;B12)&amp;"'!A5")</f>
        <v>2</v>
      </c>
      <c r="D12" s="130">
        <f t="shared" ref="D12:D41" si="3">INDIRECT(("'"&amp;B12)&amp;"'!C5")</f>
        <v>0</v>
      </c>
      <c r="E12" s="130">
        <f t="shared" ref="E12:E41" si="4">INDIRECT(("'"&amp;B12)&amp;"'!F5")</f>
        <v>0</v>
      </c>
      <c r="F12" s="130">
        <f t="shared" ref="F12:F41" si="5">INDIRECT(("'"&amp;B12)&amp;"'!L5")</f>
        <v>1</v>
      </c>
      <c r="G12" s="130">
        <f t="shared" ref="G12:G41" si="6">INDIRECT(("'"&amp;B12)&amp;"'!M5")</f>
        <v>1</v>
      </c>
      <c r="H12" s="130">
        <f t="shared" ref="H12:H41" si="7">INDIRECT(("'"&amp;B12)&amp;"'!N5")</f>
        <v>0</v>
      </c>
      <c r="I12" s="130">
        <f t="shared" ref="I12:I41" si="8">INDIRECT(("'"&amp;B12)&amp;"'!O5")</f>
        <v>2</v>
      </c>
      <c r="J12" s="8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127">
        <f t="shared" si="1"/>
        <v>2</v>
      </c>
      <c r="B13" s="131" t="s">
        <v>101</v>
      </c>
      <c r="C13" s="129">
        <f t="shared" si="2"/>
        <v>4</v>
      </c>
      <c r="D13" s="130">
        <f t="shared" si="3"/>
        <v>0</v>
      </c>
      <c r="E13" s="130">
        <f t="shared" si="4"/>
        <v>0</v>
      </c>
      <c r="F13" s="130">
        <f t="shared" si="5"/>
        <v>1</v>
      </c>
      <c r="G13" s="130">
        <f t="shared" si="6"/>
        <v>3</v>
      </c>
      <c r="H13" s="130">
        <f t="shared" si="7"/>
        <v>0</v>
      </c>
      <c r="I13" s="130">
        <f t="shared" si="8"/>
        <v>4</v>
      </c>
      <c r="J13" s="8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3.5" customHeight="1">
      <c r="A14" s="127">
        <f t="shared" si="1"/>
        <v>3</v>
      </c>
      <c r="B14" s="131" t="s">
        <v>102</v>
      </c>
      <c r="C14" s="129">
        <f t="shared" si="2"/>
        <v>4</v>
      </c>
      <c r="D14" s="130">
        <f t="shared" si="3"/>
        <v>0</v>
      </c>
      <c r="E14" s="130">
        <f t="shared" si="4"/>
        <v>0</v>
      </c>
      <c r="F14" s="130">
        <f t="shared" si="5"/>
        <v>1</v>
      </c>
      <c r="G14" s="130">
        <f t="shared" si="6"/>
        <v>3</v>
      </c>
      <c r="H14" s="130">
        <f t="shared" si="7"/>
        <v>0</v>
      </c>
      <c r="I14" s="130">
        <f t="shared" si="8"/>
        <v>4</v>
      </c>
      <c r="J14" s="8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3.5" customHeight="1">
      <c r="A15" s="127">
        <f t="shared" si="1"/>
        <v>4</v>
      </c>
      <c r="B15" s="131" t="s">
        <v>140</v>
      </c>
      <c r="C15" s="132">
        <f t="shared" si="2"/>
        <v>7</v>
      </c>
      <c r="D15" s="130">
        <f t="shared" si="3"/>
        <v>0</v>
      </c>
      <c r="E15" s="130">
        <f t="shared" si="4"/>
        <v>0</v>
      </c>
      <c r="F15" s="130">
        <f t="shared" si="5"/>
        <v>1</v>
      </c>
      <c r="G15" s="130">
        <f t="shared" si="6"/>
        <v>6</v>
      </c>
      <c r="H15" s="130">
        <f t="shared" si="7"/>
        <v>0</v>
      </c>
      <c r="I15" s="130">
        <f t="shared" si="8"/>
        <v>7</v>
      </c>
      <c r="J15" s="8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3.5" customHeight="1">
      <c r="A16" s="127">
        <f t="shared" si="1"/>
        <v>5</v>
      </c>
      <c r="B16" s="131" t="s">
        <v>104</v>
      </c>
      <c r="C16" s="132">
        <f t="shared" si="2"/>
        <v>2</v>
      </c>
      <c r="D16" s="130">
        <f t="shared" si="3"/>
        <v>0</v>
      </c>
      <c r="E16" s="130">
        <f t="shared" si="4"/>
        <v>0</v>
      </c>
      <c r="F16" s="130">
        <f t="shared" si="5"/>
        <v>1</v>
      </c>
      <c r="G16" s="130">
        <f t="shared" si="6"/>
        <v>1</v>
      </c>
      <c r="H16" s="130">
        <f t="shared" si="7"/>
        <v>0</v>
      </c>
      <c r="I16" s="130">
        <f t="shared" si="8"/>
        <v>2</v>
      </c>
      <c r="J16" s="8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3.5" customHeight="1">
      <c r="A17" s="127">
        <f t="shared" si="1"/>
        <v>6</v>
      </c>
      <c r="B17" s="133" t="s">
        <v>72</v>
      </c>
      <c r="C17" s="132">
        <f t="shared" si="2"/>
        <v>14</v>
      </c>
      <c r="D17" s="130">
        <f t="shared" si="3"/>
        <v>0</v>
      </c>
      <c r="E17" s="130">
        <f t="shared" si="4"/>
        <v>0</v>
      </c>
      <c r="F17" s="130">
        <f t="shared" si="5"/>
        <v>1</v>
      </c>
      <c r="G17" s="130">
        <f t="shared" si="6"/>
        <v>8</v>
      </c>
      <c r="H17" s="130">
        <f t="shared" si="7"/>
        <v>5</v>
      </c>
      <c r="I17" s="130">
        <f t="shared" si="8"/>
        <v>14</v>
      </c>
      <c r="J17" s="8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3.5" customHeight="1">
      <c r="A18" s="127">
        <f t="shared" si="1"/>
        <v>7</v>
      </c>
      <c r="B18" s="133" t="s">
        <v>73</v>
      </c>
      <c r="C18" s="132">
        <f t="shared" si="2"/>
        <v>9</v>
      </c>
      <c r="D18" s="130">
        <f t="shared" si="3"/>
        <v>0</v>
      </c>
      <c r="E18" s="130">
        <f t="shared" si="4"/>
        <v>0</v>
      </c>
      <c r="F18" s="130">
        <f t="shared" si="5"/>
        <v>1</v>
      </c>
      <c r="G18" s="130">
        <f t="shared" si="6"/>
        <v>4</v>
      </c>
      <c r="H18" s="130">
        <f t="shared" si="7"/>
        <v>4</v>
      </c>
      <c r="I18" s="130">
        <f t="shared" si="8"/>
        <v>9</v>
      </c>
      <c r="J18" s="8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3.5" customHeight="1">
      <c r="A19" s="127">
        <f t="shared" si="1"/>
        <v>8</v>
      </c>
      <c r="B19" s="133" t="s">
        <v>74</v>
      </c>
      <c r="C19" s="132">
        <f t="shared" si="2"/>
        <v>2</v>
      </c>
      <c r="D19" s="130">
        <f t="shared" si="3"/>
        <v>0</v>
      </c>
      <c r="E19" s="130">
        <f t="shared" si="4"/>
        <v>0</v>
      </c>
      <c r="F19" s="130">
        <f t="shared" si="5"/>
        <v>1</v>
      </c>
      <c r="G19" s="130">
        <f t="shared" si="6"/>
        <v>1</v>
      </c>
      <c r="H19" s="130">
        <f t="shared" si="7"/>
        <v>0</v>
      </c>
      <c r="I19" s="130">
        <f t="shared" si="8"/>
        <v>2</v>
      </c>
      <c r="J19" s="8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3.5" customHeight="1">
      <c r="A20" s="127">
        <f t="shared" si="1"/>
        <v>9</v>
      </c>
      <c r="B20" s="80" t="s">
        <v>75</v>
      </c>
      <c r="C20" s="132">
        <f t="shared" si="2"/>
        <v>11</v>
      </c>
      <c r="D20" s="130">
        <f t="shared" si="3"/>
        <v>0</v>
      </c>
      <c r="E20" s="130">
        <f t="shared" si="4"/>
        <v>0</v>
      </c>
      <c r="F20" s="130">
        <f t="shared" si="5"/>
        <v>1</v>
      </c>
      <c r="G20" s="130">
        <f t="shared" si="6"/>
        <v>6</v>
      </c>
      <c r="H20" s="130">
        <f t="shared" si="7"/>
        <v>4</v>
      </c>
      <c r="I20" s="130">
        <f t="shared" si="8"/>
        <v>11</v>
      </c>
      <c r="J20" s="8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3.5" customHeight="1">
      <c r="A21" s="127">
        <f t="shared" si="1"/>
        <v>10</v>
      </c>
      <c r="B21" s="82" t="s">
        <v>76</v>
      </c>
      <c r="C21" s="132">
        <f t="shared" si="2"/>
        <v>3</v>
      </c>
      <c r="D21" s="130">
        <f t="shared" si="3"/>
        <v>0</v>
      </c>
      <c r="E21" s="130">
        <f t="shared" si="4"/>
        <v>0</v>
      </c>
      <c r="F21" s="130">
        <f t="shared" si="5"/>
        <v>1</v>
      </c>
      <c r="G21" s="130">
        <f t="shared" si="6"/>
        <v>2</v>
      </c>
      <c r="H21" s="130">
        <f t="shared" si="7"/>
        <v>0</v>
      </c>
      <c r="I21" s="130">
        <f t="shared" si="8"/>
        <v>3</v>
      </c>
      <c r="J21" s="8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3.5" customHeight="1">
      <c r="A22" s="127">
        <f t="shared" si="1"/>
        <v>11</v>
      </c>
      <c r="B22" s="82" t="s">
        <v>77</v>
      </c>
      <c r="C22" s="132">
        <f t="shared" si="2"/>
        <v>3</v>
      </c>
      <c r="D22" s="130">
        <f t="shared" si="3"/>
        <v>0</v>
      </c>
      <c r="E22" s="130">
        <f t="shared" si="4"/>
        <v>0</v>
      </c>
      <c r="F22" s="130">
        <f t="shared" si="5"/>
        <v>1</v>
      </c>
      <c r="G22" s="130">
        <f t="shared" si="6"/>
        <v>2</v>
      </c>
      <c r="H22" s="130">
        <f t="shared" si="7"/>
        <v>0</v>
      </c>
      <c r="I22" s="130">
        <f t="shared" si="8"/>
        <v>3</v>
      </c>
      <c r="J22" s="8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3.5" customHeight="1">
      <c r="A23" s="127">
        <f t="shared" si="1"/>
        <v>12</v>
      </c>
      <c r="B23" s="80" t="s">
        <v>78</v>
      </c>
      <c r="C23" s="132">
        <f t="shared" si="2"/>
        <v>2</v>
      </c>
      <c r="D23" s="130">
        <f t="shared" si="3"/>
        <v>0</v>
      </c>
      <c r="E23" s="130">
        <f t="shared" si="4"/>
        <v>0</v>
      </c>
      <c r="F23" s="130">
        <f t="shared" si="5"/>
        <v>1</v>
      </c>
      <c r="G23" s="130">
        <f t="shared" si="6"/>
        <v>1</v>
      </c>
      <c r="H23" s="130">
        <f t="shared" si="7"/>
        <v>0</v>
      </c>
      <c r="I23" s="130">
        <f t="shared" si="8"/>
        <v>2</v>
      </c>
      <c r="J23" s="8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3.5" customHeight="1">
      <c r="A24" s="127">
        <f t="shared" si="1"/>
        <v>13</v>
      </c>
      <c r="B24" s="82" t="s">
        <v>79</v>
      </c>
      <c r="C24" s="132">
        <f t="shared" si="2"/>
        <v>2</v>
      </c>
      <c r="D24" s="130">
        <f t="shared" si="3"/>
        <v>0</v>
      </c>
      <c r="E24" s="130">
        <f t="shared" si="4"/>
        <v>0</v>
      </c>
      <c r="F24" s="130">
        <f t="shared" si="5"/>
        <v>1</v>
      </c>
      <c r="G24" s="130">
        <f t="shared" si="6"/>
        <v>1</v>
      </c>
      <c r="H24" s="130">
        <f t="shared" si="7"/>
        <v>0</v>
      </c>
      <c r="I24" s="130">
        <f t="shared" si="8"/>
        <v>2</v>
      </c>
      <c r="J24" s="8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3.5" customHeight="1">
      <c r="A25" s="127">
        <f t="shared" si="1"/>
        <v>14</v>
      </c>
      <c r="B25" s="82" t="s">
        <v>80</v>
      </c>
      <c r="C25" s="132">
        <f t="shared" si="2"/>
        <v>3</v>
      </c>
      <c r="D25" s="130">
        <f t="shared" si="3"/>
        <v>0</v>
      </c>
      <c r="E25" s="130">
        <f t="shared" si="4"/>
        <v>0</v>
      </c>
      <c r="F25" s="130">
        <f t="shared" si="5"/>
        <v>1</v>
      </c>
      <c r="G25" s="130">
        <f t="shared" si="6"/>
        <v>2</v>
      </c>
      <c r="H25" s="130">
        <f t="shared" si="7"/>
        <v>0</v>
      </c>
      <c r="I25" s="130">
        <f t="shared" si="8"/>
        <v>3</v>
      </c>
      <c r="J25" s="8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3.5" customHeight="1">
      <c r="A26" s="127">
        <f t="shared" si="1"/>
        <v>15</v>
      </c>
      <c r="B26" s="82" t="s">
        <v>81</v>
      </c>
      <c r="C26" s="132">
        <f t="shared" si="2"/>
        <v>2</v>
      </c>
      <c r="D26" s="130">
        <f t="shared" si="3"/>
        <v>0</v>
      </c>
      <c r="E26" s="130">
        <f t="shared" si="4"/>
        <v>0</v>
      </c>
      <c r="F26" s="130">
        <f t="shared" si="5"/>
        <v>1</v>
      </c>
      <c r="G26" s="130">
        <f t="shared" si="6"/>
        <v>1</v>
      </c>
      <c r="H26" s="130">
        <f t="shared" si="7"/>
        <v>0</v>
      </c>
      <c r="I26" s="130">
        <f t="shared" si="8"/>
        <v>2</v>
      </c>
      <c r="J26" s="8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3.5" customHeight="1">
      <c r="A27" s="127">
        <f t="shared" si="1"/>
        <v>16</v>
      </c>
      <c r="B27" s="80" t="s">
        <v>82</v>
      </c>
      <c r="C27" s="132">
        <f t="shared" si="2"/>
        <v>11</v>
      </c>
      <c r="D27" s="130">
        <f t="shared" si="3"/>
        <v>0</v>
      </c>
      <c r="E27" s="130">
        <f t="shared" si="4"/>
        <v>0</v>
      </c>
      <c r="F27" s="130">
        <f t="shared" si="5"/>
        <v>1</v>
      </c>
      <c r="G27" s="130">
        <f t="shared" si="6"/>
        <v>10</v>
      </c>
      <c r="H27" s="130">
        <f t="shared" si="7"/>
        <v>0</v>
      </c>
      <c r="I27" s="130">
        <f t="shared" si="8"/>
        <v>11</v>
      </c>
      <c r="J27" s="8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3.5" customHeight="1">
      <c r="A28" s="127">
        <f t="shared" si="1"/>
        <v>17</v>
      </c>
      <c r="B28" s="82" t="s">
        <v>83</v>
      </c>
      <c r="C28" s="132">
        <f t="shared" si="2"/>
        <v>11</v>
      </c>
      <c r="D28" s="130">
        <f t="shared" si="3"/>
        <v>0</v>
      </c>
      <c r="E28" s="130">
        <f t="shared" si="4"/>
        <v>0</v>
      </c>
      <c r="F28" s="130">
        <f t="shared" si="5"/>
        <v>1</v>
      </c>
      <c r="G28" s="130">
        <f t="shared" si="6"/>
        <v>10</v>
      </c>
      <c r="H28" s="130">
        <f t="shared" si="7"/>
        <v>0</v>
      </c>
      <c r="I28" s="130">
        <f t="shared" si="8"/>
        <v>11</v>
      </c>
      <c r="J28" s="8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3.5" customHeight="1">
      <c r="A29" s="127">
        <f t="shared" si="1"/>
        <v>18</v>
      </c>
      <c r="B29" s="82" t="s">
        <v>84</v>
      </c>
      <c r="C29" s="132">
        <f t="shared" si="2"/>
        <v>7</v>
      </c>
      <c r="D29" s="130">
        <f t="shared" si="3"/>
        <v>0</v>
      </c>
      <c r="E29" s="130">
        <f t="shared" si="4"/>
        <v>0</v>
      </c>
      <c r="F29" s="130">
        <f t="shared" si="5"/>
        <v>1</v>
      </c>
      <c r="G29" s="130">
        <f t="shared" si="6"/>
        <v>6</v>
      </c>
      <c r="H29" s="130">
        <f t="shared" si="7"/>
        <v>0</v>
      </c>
      <c r="I29" s="130">
        <f t="shared" si="8"/>
        <v>7</v>
      </c>
      <c r="J29" s="8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3.5" customHeight="1">
      <c r="A30" s="127">
        <f t="shared" si="1"/>
        <v>19</v>
      </c>
      <c r="B30" s="82" t="s">
        <v>85</v>
      </c>
      <c r="C30" s="132">
        <f t="shared" si="2"/>
        <v>7</v>
      </c>
      <c r="D30" s="130">
        <f t="shared" si="3"/>
        <v>0</v>
      </c>
      <c r="E30" s="130">
        <f t="shared" si="4"/>
        <v>0</v>
      </c>
      <c r="F30" s="130">
        <f t="shared" si="5"/>
        <v>1</v>
      </c>
      <c r="G30" s="130">
        <f t="shared" si="6"/>
        <v>6</v>
      </c>
      <c r="H30" s="130">
        <f t="shared" si="7"/>
        <v>0</v>
      </c>
      <c r="I30" s="130">
        <f t="shared" si="8"/>
        <v>7</v>
      </c>
      <c r="J30" s="8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3.5" customHeight="1">
      <c r="A31" s="127">
        <f t="shared" si="1"/>
        <v>20</v>
      </c>
      <c r="B31" s="83" t="s">
        <v>86</v>
      </c>
      <c r="C31" s="132">
        <f t="shared" si="2"/>
        <v>3</v>
      </c>
      <c r="D31" s="130">
        <f t="shared" si="3"/>
        <v>0</v>
      </c>
      <c r="E31" s="130">
        <f t="shared" si="4"/>
        <v>0</v>
      </c>
      <c r="F31" s="130">
        <f t="shared" si="5"/>
        <v>1</v>
      </c>
      <c r="G31" s="130">
        <f t="shared" si="6"/>
        <v>2</v>
      </c>
      <c r="H31" s="130">
        <f t="shared" si="7"/>
        <v>0</v>
      </c>
      <c r="I31" s="130">
        <f t="shared" si="8"/>
        <v>3</v>
      </c>
      <c r="J31" s="8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3.5" customHeight="1">
      <c r="A32" s="127">
        <f t="shared" si="1"/>
        <v>21</v>
      </c>
      <c r="B32" s="83" t="s">
        <v>87</v>
      </c>
      <c r="C32" s="132">
        <f t="shared" si="2"/>
        <v>3</v>
      </c>
      <c r="D32" s="130">
        <f t="shared" si="3"/>
        <v>0</v>
      </c>
      <c r="E32" s="130">
        <f t="shared" si="4"/>
        <v>0</v>
      </c>
      <c r="F32" s="130">
        <f t="shared" si="5"/>
        <v>1</v>
      </c>
      <c r="G32" s="130">
        <f t="shared" si="6"/>
        <v>2</v>
      </c>
      <c r="H32" s="130">
        <f t="shared" si="7"/>
        <v>0</v>
      </c>
      <c r="I32" s="130">
        <f t="shared" si="8"/>
        <v>3</v>
      </c>
      <c r="J32" s="8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3.5" customHeight="1">
      <c r="A33" s="127">
        <f t="shared" si="1"/>
        <v>22</v>
      </c>
      <c r="B33" s="83" t="s">
        <v>88</v>
      </c>
      <c r="C33" s="132">
        <f t="shared" si="2"/>
        <v>3</v>
      </c>
      <c r="D33" s="130">
        <f t="shared" si="3"/>
        <v>0</v>
      </c>
      <c r="E33" s="130">
        <f t="shared" si="4"/>
        <v>0</v>
      </c>
      <c r="F33" s="130">
        <f t="shared" si="5"/>
        <v>1</v>
      </c>
      <c r="G33" s="130">
        <f t="shared" si="6"/>
        <v>2</v>
      </c>
      <c r="H33" s="130">
        <f t="shared" si="7"/>
        <v>0</v>
      </c>
      <c r="I33" s="130">
        <f t="shared" si="8"/>
        <v>3</v>
      </c>
      <c r="J33" s="8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3.5" customHeight="1">
      <c r="A34" s="127">
        <f t="shared" si="1"/>
        <v>23</v>
      </c>
      <c r="B34" s="97" t="s">
        <v>106</v>
      </c>
      <c r="C34" s="132">
        <f t="shared" si="2"/>
        <v>7</v>
      </c>
      <c r="D34" s="130">
        <f t="shared" si="3"/>
        <v>0</v>
      </c>
      <c r="E34" s="130">
        <f t="shared" si="4"/>
        <v>0</v>
      </c>
      <c r="F34" s="130">
        <f t="shared" si="5"/>
        <v>1</v>
      </c>
      <c r="G34" s="130">
        <f t="shared" si="6"/>
        <v>4</v>
      </c>
      <c r="H34" s="130">
        <f t="shared" si="7"/>
        <v>2</v>
      </c>
      <c r="I34" s="130">
        <f t="shared" si="8"/>
        <v>7</v>
      </c>
      <c r="J34" s="8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3.5" customHeight="1">
      <c r="A35" s="127">
        <f t="shared" si="1"/>
        <v>24</v>
      </c>
      <c r="B35" s="97" t="s">
        <v>107</v>
      </c>
      <c r="C35" s="132">
        <f t="shared" si="2"/>
        <v>7</v>
      </c>
      <c r="D35" s="130">
        <f t="shared" si="3"/>
        <v>0</v>
      </c>
      <c r="E35" s="130">
        <f t="shared" si="4"/>
        <v>0</v>
      </c>
      <c r="F35" s="130">
        <f t="shared" si="5"/>
        <v>1</v>
      </c>
      <c r="G35" s="130">
        <f t="shared" si="6"/>
        <v>4</v>
      </c>
      <c r="H35" s="130">
        <f t="shared" si="7"/>
        <v>2</v>
      </c>
      <c r="I35" s="130">
        <f t="shared" si="8"/>
        <v>7</v>
      </c>
      <c r="J35" s="8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3.5" customHeight="1">
      <c r="A36" s="127">
        <f t="shared" si="1"/>
        <v>25</v>
      </c>
      <c r="B36" s="97" t="s">
        <v>108</v>
      </c>
      <c r="C36" s="132">
        <f t="shared" si="2"/>
        <v>2</v>
      </c>
      <c r="D36" s="130">
        <f t="shared" si="3"/>
        <v>0</v>
      </c>
      <c r="E36" s="130">
        <f t="shared" si="4"/>
        <v>0</v>
      </c>
      <c r="F36" s="130">
        <f t="shared" si="5"/>
        <v>1</v>
      </c>
      <c r="G36" s="130">
        <f t="shared" si="6"/>
        <v>1</v>
      </c>
      <c r="H36" s="130">
        <f t="shared" si="7"/>
        <v>0</v>
      </c>
      <c r="I36" s="130">
        <f t="shared" si="8"/>
        <v>2</v>
      </c>
      <c r="J36" s="8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3.5" customHeight="1">
      <c r="A37" s="127">
        <f t="shared" si="1"/>
        <v>26</v>
      </c>
      <c r="B37" s="97" t="s">
        <v>109</v>
      </c>
      <c r="C37" s="132">
        <f t="shared" si="2"/>
        <v>2</v>
      </c>
      <c r="D37" s="130">
        <f t="shared" si="3"/>
        <v>0</v>
      </c>
      <c r="E37" s="130">
        <f t="shared" si="4"/>
        <v>0</v>
      </c>
      <c r="F37" s="130">
        <f t="shared" si="5"/>
        <v>1</v>
      </c>
      <c r="G37" s="130">
        <f t="shared" si="6"/>
        <v>1</v>
      </c>
      <c r="H37" s="130">
        <f t="shared" si="7"/>
        <v>0</v>
      </c>
      <c r="I37" s="130">
        <f t="shared" si="8"/>
        <v>2</v>
      </c>
      <c r="J37" s="8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3.5" customHeight="1">
      <c r="A38" s="127">
        <f t="shared" si="1"/>
        <v>27</v>
      </c>
      <c r="B38" s="97" t="s">
        <v>110</v>
      </c>
      <c r="C38" s="132">
        <f t="shared" si="2"/>
        <v>2</v>
      </c>
      <c r="D38" s="130">
        <f t="shared" si="3"/>
        <v>0</v>
      </c>
      <c r="E38" s="130">
        <f t="shared" si="4"/>
        <v>0</v>
      </c>
      <c r="F38" s="130">
        <f t="shared" si="5"/>
        <v>1</v>
      </c>
      <c r="G38" s="130">
        <f t="shared" si="6"/>
        <v>1</v>
      </c>
      <c r="H38" s="130">
        <f t="shared" si="7"/>
        <v>0</v>
      </c>
      <c r="I38" s="130">
        <f t="shared" si="8"/>
        <v>2</v>
      </c>
      <c r="J38" s="8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3.5" customHeight="1">
      <c r="A39" s="127">
        <f t="shared" si="1"/>
        <v>28</v>
      </c>
      <c r="B39" s="97" t="s">
        <v>111</v>
      </c>
      <c r="C39" s="132">
        <f t="shared" si="2"/>
        <v>2</v>
      </c>
      <c r="D39" s="130">
        <f t="shared" si="3"/>
        <v>0</v>
      </c>
      <c r="E39" s="130">
        <f t="shared" si="4"/>
        <v>0</v>
      </c>
      <c r="F39" s="130">
        <f t="shared" si="5"/>
        <v>1</v>
      </c>
      <c r="G39" s="130">
        <f t="shared" si="6"/>
        <v>1</v>
      </c>
      <c r="H39" s="130">
        <f t="shared" si="7"/>
        <v>0</v>
      </c>
      <c r="I39" s="130">
        <f t="shared" si="8"/>
        <v>2</v>
      </c>
      <c r="J39" s="8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3.5" customHeight="1">
      <c r="A40" s="127">
        <f t="shared" si="1"/>
        <v>29</v>
      </c>
      <c r="B40" s="97" t="s">
        <v>113</v>
      </c>
      <c r="C40" s="132">
        <f t="shared" si="2"/>
        <v>2</v>
      </c>
      <c r="D40" s="130">
        <f t="shared" si="3"/>
        <v>0</v>
      </c>
      <c r="E40" s="130">
        <f t="shared" si="4"/>
        <v>0</v>
      </c>
      <c r="F40" s="130">
        <f t="shared" si="5"/>
        <v>1</v>
      </c>
      <c r="G40" s="130">
        <f t="shared" si="6"/>
        <v>1</v>
      </c>
      <c r="H40" s="130">
        <f t="shared" si="7"/>
        <v>0</v>
      </c>
      <c r="I40" s="130">
        <f t="shared" si="8"/>
        <v>2</v>
      </c>
      <c r="J40" s="8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3.5" customHeight="1">
      <c r="A41" s="127">
        <f t="shared" si="1"/>
        <v>30</v>
      </c>
      <c r="B41" s="97" t="s">
        <v>114</v>
      </c>
      <c r="C41" s="132">
        <f t="shared" si="2"/>
        <v>2</v>
      </c>
      <c r="D41" s="130">
        <f t="shared" si="3"/>
        <v>0</v>
      </c>
      <c r="E41" s="130">
        <f t="shared" si="4"/>
        <v>0</v>
      </c>
      <c r="F41" s="130">
        <f t="shared" si="5"/>
        <v>1</v>
      </c>
      <c r="G41" s="130">
        <f t="shared" si="6"/>
        <v>1</v>
      </c>
      <c r="H41" s="130">
        <f t="shared" si="7"/>
        <v>0</v>
      </c>
      <c r="I41" s="130">
        <f t="shared" si="8"/>
        <v>2</v>
      </c>
      <c r="J41" s="8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3.5" customHeight="1">
      <c r="A42" s="127"/>
      <c r="B42" s="94"/>
      <c r="C42" s="94"/>
      <c r="D42" s="94"/>
      <c r="E42" s="94"/>
      <c r="F42" s="94"/>
      <c r="G42" s="94"/>
      <c r="H42" s="94"/>
      <c r="I42" s="94"/>
      <c r="J42" s="8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3.5" customHeight="1">
      <c r="A43" s="127"/>
      <c r="B43" s="134"/>
      <c r="C43" s="135"/>
      <c r="D43" s="135"/>
      <c r="E43" s="135"/>
      <c r="F43" s="135"/>
      <c r="G43" s="135"/>
      <c r="H43" s="135"/>
      <c r="I43" s="135"/>
      <c r="J43" s="8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3.5" customHeight="1">
      <c r="A44" s="136"/>
      <c r="B44" s="137"/>
      <c r="C44" s="138"/>
      <c r="D44" s="138"/>
      <c r="E44" s="138"/>
      <c r="F44" s="138"/>
      <c r="G44" s="138"/>
      <c r="H44" s="138"/>
      <c r="I44" s="138"/>
      <c r="J44" s="8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3.5" customHeight="1">
      <c r="A45" s="139"/>
      <c r="B45" s="140" t="s">
        <v>141</v>
      </c>
      <c r="C45" s="141">
        <f t="shared" ref="C45:I45" si="9">SUM(C10:C44)</f>
        <v>141</v>
      </c>
      <c r="D45" s="142">
        <f t="shared" si="9"/>
        <v>0</v>
      </c>
      <c r="E45" s="142">
        <f t="shared" si="9"/>
        <v>0</v>
      </c>
      <c r="F45" s="142">
        <f t="shared" si="9"/>
        <v>30</v>
      </c>
      <c r="G45" s="142">
        <f t="shared" si="9"/>
        <v>94</v>
      </c>
      <c r="H45" s="142">
        <f t="shared" si="9"/>
        <v>17</v>
      </c>
      <c r="I45" s="143">
        <f t="shared" si="9"/>
        <v>141</v>
      </c>
      <c r="J45" s="8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144"/>
      <c r="B46" s="145"/>
      <c r="C46" s="146"/>
      <c r="D46" s="147"/>
      <c r="E46" s="147"/>
      <c r="F46" s="147"/>
      <c r="G46" s="147"/>
      <c r="H46" s="147"/>
      <c r="I46" s="147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148" t="s">
        <v>142</v>
      </c>
      <c r="C47" s="21"/>
      <c r="D47" s="149">
        <f>(C45+D45)*100/(I45)</f>
        <v>100</v>
      </c>
      <c r="E47" s="21" t="s">
        <v>143</v>
      </c>
      <c r="F47" s="21"/>
      <c r="G47" s="21"/>
      <c r="H47" s="21"/>
      <c r="I47" s="150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148" t="s">
        <v>144</v>
      </c>
      <c r="C48" s="21"/>
      <c r="D48" s="149">
        <f>C45*100/(I45)</f>
        <v>100</v>
      </c>
      <c r="E48" s="21" t="s">
        <v>143</v>
      </c>
      <c r="F48" s="21"/>
      <c r="G48" s="21"/>
      <c r="H48" s="21"/>
      <c r="I48" s="150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148" t="s">
        <v>145</v>
      </c>
      <c r="C49" s="21"/>
      <c r="D49" s="149">
        <f>F45*100/I45</f>
        <v>21.27659574</v>
      </c>
      <c r="E49" s="21" t="s">
        <v>143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148" t="s">
        <v>146</v>
      </c>
      <c r="C50" s="21"/>
      <c r="D50" s="149">
        <f>G45*100/I45</f>
        <v>66.66666667</v>
      </c>
      <c r="E50" s="21" t="s">
        <v>143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148" t="s">
        <v>147</v>
      </c>
      <c r="C51" s="21"/>
      <c r="D51" s="149">
        <f>H45*100/I45</f>
        <v>12.05673759</v>
      </c>
      <c r="E51" s="21" t="s">
        <v>143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No" location="null!A1" ref="A11"/>
    <hyperlink display="findAll" location="findAll!A1" ref="B12"/>
    <hyperlink display="createBuilding" location="createBuilding!A1" ref="B13"/>
    <hyperlink display="updateBuilding" location="updateBuilding!A1" ref="B14"/>
    <hyperlink display="doBuildingDeletion" location="doBuildingDeletion!A1" ref="B15"/>
    <hyperlink display="getUnitById" location="getUnitById!A1" ref="B16"/>
    <hyperlink display="createUnit" location="createUnit!A1" ref="B17"/>
    <hyperlink display="updateUnit" location="updateUnit!A1" ref="B18"/>
    <hyperlink display="deleteUnit" location="deleteUnit!A1" ref="B19"/>
    <hyperlink display="login" location="login!A1" ref="B20"/>
    <hyperlink display="refreshToken" location="refreshToken!A1" ref="B21"/>
    <hyperlink display="validateUserAccess" location="validateUserAccess!A1" ref="B22"/>
    <hyperlink display="getUserInfo" location="getUserInfo!A1" ref="B23"/>
    <hyperlink display="getUserTenants" location="getUserTenants!A1" ref="B24"/>
    <hyperlink display="getUserRolesInTenant" location="getUserRolesInTenant!A1" ref="B25"/>
    <hyperlink display="getUserStatus" location="getUserStatus!A1" ref="B26"/>
    <hyperlink display="grantPermissionsToUser" location="grantPermissionsToUser!A1" ref="B27"/>
    <hyperlink display="denyPermissionsFromUser" location="denyPermissionsFromUser!A1" ref="B28"/>
    <hyperlink display="revokeGrantsFromUser" location="revokeGrantsFromUser!A1" ref="B29"/>
    <hyperlink display="revokeDeniesFromUser" location="revokeDeniesFromUser!A1" ref="B30"/>
    <hyperlink display="getUserPermissionSummary" location="getUserPermissionSummary!A1" ref="B31"/>
    <hyperlink display="getActiveGrants" location="getActiveGrants!A1" ref="B32"/>
    <hyperlink display="getActiveDenies" location="getActiveDenies!A1" ref="B33"/>
    <hyperlink display="createVehicle" location="createVehicle!A1" ref="B34"/>
    <hyperlink display="updateVehicle" location="updateVehicle!A1" ref="B35"/>
    <hyperlink display="deleteVehicle" location="deleteVehicle!A1" ref="B36"/>
    <hyperlink display="getVehicleById" location="getVehicleById!A1" ref="B37"/>
    <hyperlink display="getVehiclesByUnitId" location="getVehiclesByUnitId!A1" ref="B38"/>
    <hyperlink display="changeVehicleStatus" location="changeVehicleStatus!A1" ref="B39"/>
    <hyperlink display="getInvoicesByResident" location="getInvoicesByResident!A1" ref="B40"/>
    <hyperlink display="getUnpaidInvoicesByResident" location="getUnpaidInvoicesByResident!A1" ref="B41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/>
      <c r="B1" s="152"/>
      <c r="C1" s="153" t="s">
        <v>96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75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COUNTIF(F41:HT41,"P")</f>
        <v>11</v>
      </c>
      <c r="B5" s="165"/>
      <c r="C5" s="164">
        <f>COUNTIF(H41:HV41,"F")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COUNTIF(E40:HT40,"N")</f>
        <v>1</v>
      </c>
      <c r="M5" s="168">
        <f>COUNTIF(F40:HU40,"A")</f>
        <v>6</v>
      </c>
      <c r="N5" s="168">
        <f>COUNTIF(G40:HV40,"B")</f>
        <v>4</v>
      </c>
      <c r="O5" s="167">
        <f>COUNTA(F7:HW7)</f>
        <v>11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 t="s">
        <v>160</v>
      </c>
      <c r="N7" s="171" t="s">
        <v>161</v>
      </c>
      <c r="O7" s="171" t="s">
        <v>162</v>
      </c>
      <c r="P7" s="171" t="s">
        <v>163</v>
      </c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 t="s">
        <v>167</v>
      </c>
      <c r="N9" s="185" t="s">
        <v>167</v>
      </c>
      <c r="O9" s="185" t="s">
        <v>167</v>
      </c>
      <c r="P9" s="185" t="s">
        <v>167</v>
      </c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168</v>
      </c>
      <c r="C10" s="154"/>
      <c r="D10" s="152"/>
      <c r="E10" s="184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169</v>
      </c>
      <c r="C11" s="154"/>
      <c r="D11" s="152"/>
      <c r="E11" s="184"/>
      <c r="F11" s="185" t="s">
        <v>167</v>
      </c>
      <c r="G11" s="188"/>
      <c r="H11" s="188"/>
      <c r="I11" s="188"/>
      <c r="J11" s="188"/>
      <c r="K11" s="188"/>
      <c r="L11" s="185" t="s">
        <v>167</v>
      </c>
      <c r="M11" s="185" t="s">
        <v>167</v>
      </c>
      <c r="N11" s="185" t="s">
        <v>167</v>
      </c>
      <c r="O11" s="185" t="s">
        <v>167</v>
      </c>
      <c r="P11" s="185" t="s">
        <v>167</v>
      </c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170</v>
      </c>
      <c r="C12" s="154"/>
      <c r="D12" s="152"/>
      <c r="E12" s="184"/>
      <c r="F12" s="188"/>
      <c r="G12" s="185" t="s">
        <v>167</v>
      </c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90" t="s">
        <v>171</v>
      </c>
      <c r="C13" s="154"/>
      <c r="D13" s="152"/>
      <c r="E13" s="184"/>
      <c r="F13" s="188"/>
      <c r="G13" s="188"/>
      <c r="H13" s="185" t="s">
        <v>167</v>
      </c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90" t="s">
        <v>172</v>
      </c>
      <c r="C14" s="154"/>
      <c r="D14" s="152"/>
      <c r="E14" s="184"/>
      <c r="F14" s="188"/>
      <c r="G14" s="188"/>
      <c r="H14" s="188"/>
      <c r="I14" s="185" t="s">
        <v>167</v>
      </c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190" t="s">
        <v>173</v>
      </c>
      <c r="C15" s="154"/>
      <c r="D15" s="152"/>
      <c r="E15" s="184"/>
      <c r="F15" s="188"/>
      <c r="G15" s="188"/>
      <c r="H15" s="188"/>
      <c r="I15" s="188"/>
      <c r="J15" s="185" t="s">
        <v>167</v>
      </c>
      <c r="K15" s="188"/>
      <c r="L15" s="188"/>
      <c r="M15" s="188"/>
      <c r="N15" s="188"/>
      <c r="O15" s="188"/>
      <c r="P15" s="188"/>
      <c r="Q15" s="188"/>
      <c r="R15" s="188"/>
      <c r="S15" s="188"/>
      <c r="T15" s="189"/>
      <c r="U15" s="161"/>
      <c r="V15" s="161"/>
      <c r="W15" s="161"/>
    </row>
    <row r="16">
      <c r="A16" s="182"/>
      <c r="B16" s="190" t="s">
        <v>174</v>
      </c>
      <c r="C16" s="154"/>
      <c r="D16" s="152"/>
      <c r="E16" s="184"/>
      <c r="F16" s="188"/>
      <c r="G16" s="188"/>
      <c r="H16" s="188"/>
      <c r="I16" s="188"/>
      <c r="J16" s="188"/>
      <c r="K16" s="185" t="s">
        <v>167</v>
      </c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7" t="s">
        <v>175</v>
      </c>
      <c r="C17" s="154"/>
      <c r="D17" s="152"/>
      <c r="E17" s="184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190" t="s">
        <v>176</v>
      </c>
      <c r="C18" s="154"/>
      <c r="D18" s="152"/>
      <c r="E18" s="184"/>
      <c r="F18" s="185" t="s">
        <v>167</v>
      </c>
      <c r="G18" s="185" t="s">
        <v>167</v>
      </c>
      <c r="H18" s="185" t="s">
        <v>167</v>
      </c>
      <c r="I18" s="185" t="s">
        <v>167</v>
      </c>
      <c r="J18" s="185" t="s">
        <v>167</v>
      </c>
      <c r="K18" s="185" t="s">
        <v>167</v>
      </c>
      <c r="L18" s="188"/>
      <c r="M18" s="188"/>
      <c r="N18" s="188"/>
      <c r="O18" s="188"/>
      <c r="P18" s="185" t="s">
        <v>167</v>
      </c>
      <c r="Q18" s="188"/>
      <c r="R18" s="188"/>
      <c r="S18" s="188"/>
      <c r="T18" s="189"/>
      <c r="U18" s="161"/>
      <c r="V18" s="161"/>
      <c r="W18" s="161"/>
    </row>
    <row r="19">
      <c r="A19" s="182"/>
      <c r="B19" s="190" t="s">
        <v>170</v>
      </c>
      <c r="C19" s="154"/>
      <c r="D19" s="152"/>
      <c r="E19" s="184"/>
      <c r="F19" s="188"/>
      <c r="G19" s="188"/>
      <c r="H19" s="188"/>
      <c r="I19" s="188"/>
      <c r="J19" s="188"/>
      <c r="K19" s="188"/>
      <c r="L19" s="185" t="s">
        <v>167</v>
      </c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90" t="s">
        <v>177</v>
      </c>
      <c r="C20" s="154"/>
      <c r="D20" s="152"/>
      <c r="E20" s="184"/>
      <c r="F20" s="188"/>
      <c r="G20" s="188"/>
      <c r="H20" s="188"/>
      <c r="I20" s="188"/>
      <c r="J20" s="188"/>
      <c r="K20" s="188"/>
      <c r="L20" s="188"/>
      <c r="M20" s="185" t="s">
        <v>167</v>
      </c>
      <c r="N20" s="188"/>
      <c r="O20" s="188"/>
      <c r="P20" s="188"/>
      <c r="Q20" s="188"/>
      <c r="R20" s="188"/>
      <c r="S20" s="188"/>
      <c r="T20" s="189"/>
      <c r="U20" s="161"/>
      <c r="V20" s="161"/>
      <c r="W20" s="161"/>
    </row>
    <row r="21">
      <c r="A21" s="182"/>
      <c r="B21" s="191" t="s">
        <v>178</v>
      </c>
      <c r="C21" s="154"/>
      <c r="D21" s="152"/>
      <c r="E21" s="184"/>
      <c r="F21" s="188"/>
      <c r="G21" s="188"/>
      <c r="H21" s="188"/>
      <c r="I21" s="188"/>
      <c r="J21" s="188"/>
      <c r="K21" s="188"/>
      <c r="L21" s="188"/>
      <c r="M21" s="188"/>
      <c r="N21" s="185" t="s">
        <v>167</v>
      </c>
      <c r="O21" s="188"/>
      <c r="P21" s="188"/>
      <c r="Q21" s="188"/>
      <c r="R21" s="188"/>
      <c r="S21" s="188"/>
      <c r="T21" s="189"/>
      <c r="U21" s="161"/>
      <c r="V21" s="161"/>
      <c r="W21" s="161"/>
    </row>
    <row r="22">
      <c r="A22" s="182"/>
      <c r="B22" s="190" t="s">
        <v>179</v>
      </c>
      <c r="C22" s="154"/>
      <c r="D22" s="152"/>
      <c r="E22" s="184"/>
      <c r="F22" s="188"/>
      <c r="G22" s="188"/>
      <c r="H22" s="188"/>
      <c r="I22" s="188"/>
      <c r="J22" s="188"/>
      <c r="K22" s="188"/>
      <c r="L22" s="188"/>
      <c r="M22" s="188"/>
      <c r="N22" s="185"/>
      <c r="O22" s="185" t="s">
        <v>167</v>
      </c>
      <c r="P22" s="188"/>
      <c r="Q22" s="188"/>
      <c r="R22" s="188"/>
      <c r="S22" s="188"/>
      <c r="T22" s="189"/>
      <c r="U22" s="161"/>
      <c r="V22" s="161"/>
      <c r="W22" s="161"/>
    </row>
    <row r="23">
      <c r="A23" s="182"/>
      <c r="B23" s="187" t="s">
        <v>180</v>
      </c>
      <c r="C23" s="154"/>
      <c r="D23" s="152"/>
      <c r="E23" s="184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9"/>
      <c r="U23" s="161"/>
      <c r="V23" s="161"/>
      <c r="W23" s="161"/>
    </row>
    <row r="24">
      <c r="A24" s="182"/>
      <c r="B24" s="183" t="s">
        <v>181</v>
      </c>
      <c r="C24" s="154"/>
      <c r="D24" s="152"/>
      <c r="E24" s="184"/>
      <c r="F24" s="185" t="s">
        <v>167</v>
      </c>
      <c r="G24" s="185" t="s">
        <v>167</v>
      </c>
      <c r="H24" s="185" t="s">
        <v>167</v>
      </c>
      <c r="I24" s="185" t="s">
        <v>167</v>
      </c>
      <c r="J24" s="185" t="s">
        <v>167</v>
      </c>
      <c r="K24" s="185" t="s">
        <v>167</v>
      </c>
      <c r="L24" s="185" t="s">
        <v>167</v>
      </c>
      <c r="M24" s="185" t="s">
        <v>167</v>
      </c>
      <c r="N24" s="185" t="s">
        <v>167</v>
      </c>
      <c r="O24" s="185" t="s">
        <v>167</v>
      </c>
      <c r="P24" s="188"/>
      <c r="Q24" s="188"/>
      <c r="R24" s="188"/>
      <c r="S24" s="188"/>
      <c r="T24" s="189"/>
      <c r="U24" s="161"/>
      <c r="V24" s="161"/>
      <c r="W24" s="161"/>
    </row>
    <row r="25">
      <c r="A25" s="192"/>
      <c r="B25" s="193" t="s">
        <v>182</v>
      </c>
      <c r="C25" s="194"/>
      <c r="D25" s="195"/>
      <c r="E25" s="196"/>
      <c r="F25" s="197"/>
      <c r="G25" s="198"/>
      <c r="H25" s="197"/>
      <c r="I25" s="198"/>
      <c r="J25" s="198"/>
      <c r="K25" s="197"/>
      <c r="L25" s="197"/>
      <c r="M25" s="197"/>
      <c r="N25" s="197"/>
      <c r="O25" s="199"/>
      <c r="P25" s="199" t="s">
        <v>167</v>
      </c>
      <c r="Q25" s="197"/>
      <c r="R25" s="197"/>
      <c r="S25" s="197"/>
      <c r="T25" s="200"/>
      <c r="U25" s="161"/>
      <c r="V25" s="161"/>
      <c r="W25" s="161"/>
    </row>
    <row r="26">
      <c r="A26" s="174" t="s">
        <v>183</v>
      </c>
      <c r="B26" s="201" t="s">
        <v>184</v>
      </c>
      <c r="D26" s="202"/>
      <c r="E26" s="203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81"/>
      <c r="U26" s="161"/>
      <c r="V26" s="161"/>
      <c r="W26" s="161"/>
    </row>
    <row r="27">
      <c r="A27" s="182"/>
      <c r="B27" s="204" t="b">
        <v>1</v>
      </c>
      <c r="C27" s="154"/>
      <c r="D27" s="152"/>
      <c r="E27" s="184"/>
      <c r="F27" s="185" t="s">
        <v>167</v>
      </c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9"/>
      <c r="U27" s="161"/>
      <c r="V27" s="161"/>
      <c r="W27" s="161"/>
    </row>
    <row r="28">
      <c r="A28" s="182"/>
      <c r="B28" s="204" t="b">
        <v>0</v>
      </c>
      <c r="C28" s="154"/>
      <c r="D28" s="152"/>
      <c r="E28" s="184"/>
      <c r="F28" s="188"/>
      <c r="G28" s="185"/>
      <c r="H28" s="205" t="s">
        <v>167</v>
      </c>
      <c r="I28" s="205" t="s">
        <v>167</v>
      </c>
      <c r="J28" s="205" t="s">
        <v>167</v>
      </c>
      <c r="K28" s="205" t="s">
        <v>167</v>
      </c>
      <c r="L28" s="185"/>
      <c r="M28" s="185"/>
      <c r="N28" s="188"/>
      <c r="O28" s="188"/>
      <c r="P28" s="185"/>
      <c r="Q28" s="185"/>
      <c r="R28" s="185"/>
      <c r="S28" s="185"/>
      <c r="T28" s="186"/>
      <c r="U28" s="161"/>
      <c r="V28" s="161"/>
      <c r="W28" s="161"/>
    </row>
    <row r="29">
      <c r="A29" s="182"/>
      <c r="B29" s="206" t="s">
        <v>185</v>
      </c>
      <c r="C29" s="154"/>
      <c r="D29" s="152"/>
      <c r="E29" s="207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9"/>
      <c r="U29" s="161"/>
      <c r="V29" s="161"/>
      <c r="W29" s="161"/>
    </row>
    <row r="30">
      <c r="A30" s="182"/>
      <c r="B30" s="183" t="s">
        <v>186</v>
      </c>
      <c r="C30" s="154"/>
      <c r="D30" s="152"/>
      <c r="E30" s="207"/>
      <c r="F30" s="188"/>
      <c r="G30" s="205" t="s">
        <v>167</v>
      </c>
      <c r="H30" s="185"/>
      <c r="I30" s="185"/>
      <c r="J30" s="185"/>
      <c r="K30" s="188"/>
      <c r="L30" s="188"/>
      <c r="M30" s="188"/>
      <c r="N30" s="185"/>
      <c r="O30" s="185"/>
      <c r="P30" s="188"/>
      <c r="Q30" s="188"/>
      <c r="R30" s="188"/>
      <c r="S30" s="188"/>
      <c r="T30" s="208"/>
      <c r="U30" s="161"/>
      <c r="V30" s="161"/>
      <c r="W30" s="161"/>
    </row>
    <row r="31" ht="15.75" customHeight="1">
      <c r="A31" s="182"/>
      <c r="B31" s="206" t="s">
        <v>187</v>
      </c>
      <c r="C31" s="154"/>
      <c r="D31" s="152"/>
      <c r="E31" s="184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 s="209"/>
      <c r="T31" s="189"/>
      <c r="U31" s="161"/>
      <c r="V31" s="161"/>
      <c r="W31" s="161"/>
    </row>
    <row r="32" ht="15.75" customHeight="1">
      <c r="A32" s="182"/>
      <c r="B32" s="190" t="s">
        <v>188</v>
      </c>
      <c r="C32" s="154"/>
      <c r="D32" s="152"/>
      <c r="E32" s="184"/>
      <c r="F32" s="210"/>
      <c r="G32" s="211" t="s">
        <v>167</v>
      </c>
      <c r="H32" s="212"/>
      <c r="I32" s="212"/>
      <c r="J32" s="210"/>
      <c r="K32" s="210"/>
      <c r="L32" s="210"/>
      <c r="M32" s="210"/>
      <c r="N32" s="212"/>
      <c r="O32" s="212"/>
      <c r="P32" s="210"/>
      <c r="Q32" s="210"/>
      <c r="R32" s="210"/>
      <c r="S32" s="210"/>
      <c r="T32" s="189"/>
      <c r="U32" s="161"/>
      <c r="V32" s="161"/>
      <c r="W32" s="161"/>
    </row>
    <row r="33" ht="15.75" customHeight="1">
      <c r="A33" s="182"/>
      <c r="B33" s="190" t="s">
        <v>189</v>
      </c>
      <c r="C33" s="154"/>
      <c r="D33" s="152"/>
      <c r="E33" s="184"/>
      <c r="F33" s="210"/>
      <c r="G33" s="211"/>
      <c r="H33" s="212"/>
      <c r="I33" s="212"/>
      <c r="J33" s="210"/>
      <c r="K33" s="210"/>
      <c r="L33" s="211" t="s">
        <v>167</v>
      </c>
      <c r="M33" s="210"/>
      <c r="N33" s="212"/>
      <c r="O33" s="212"/>
      <c r="P33" s="210"/>
      <c r="Q33" s="210"/>
      <c r="R33" s="210"/>
      <c r="S33" s="210"/>
      <c r="T33" s="189"/>
      <c r="U33" s="161"/>
      <c r="V33" s="161"/>
      <c r="W33" s="161"/>
    </row>
    <row r="34" ht="15.75" customHeight="1">
      <c r="A34" s="182"/>
      <c r="B34" s="190" t="s">
        <v>190</v>
      </c>
      <c r="C34" s="154"/>
      <c r="D34" s="152"/>
      <c r="E34" s="184"/>
      <c r="F34" s="210"/>
      <c r="G34" s="210"/>
      <c r="H34" s="211" t="s">
        <v>167</v>
      </c>
      <c r="I34" s="211" t="s">
        <v>167</v>
      </c>
      <c r="J34" s="210"/>
      <c r="K34" s="210"/>
      <c r="L34" s="210"/>
      <c r="M34" s="210"/>
      <c r="N34" s="212"/>
      <c r="O34" s="212"/>
      <c r="P34" s="210"/>
      <c r="Q34" s="210"/>
      <c r="R34" s="210"/>
      <c r="S34" s="210"/>
      <c r="T34" s="189"/>
      <c r="U34" s="161"/>
      <c r="V34" s="161"/>
      <c r="W34" s="161"/>
    </row>
    <row r="35" ht="15.75" customHeight="1">
      <c r="A35" s="182"/>
      <c r="B35" s="190" t="s">
        <v>191</v>
      </c>
      <c r="C35" s="154"/>
      <c r="D35" s="152"/>
      <c r="E35" s="184"/>
      <c r="F35" s="210"/>
      <c r="G35" s="210"/>
      <c r="H35" s="212"/>
      <c r="I35" s="212"/>
      <c r="J35" s="211" t="s">
        <v>167</v>
      </c>
      <c r="K35" s="210"/>
      <c r="L35" s="210"/>
      <c r="M35" s="210"/>
      <c r="N35" s="212"/>
      <c r="O35" s="212"/>
      <c r="P35" s="210"/>
      <c r="Q35" s="210"/>
      <c r="R35" s="210"/>
      <c r="S35" s="210"/>
      <c r="T35" s="189"/>
      <c r="U35" s="161"/>
      <c r="V35" s="161"/>
      <c r="W35" s="161"/>
    </row>
    <row r="36" ht="15.75" customHeight="1">
      <c r="A36" s="182"/>
      <c r="B36" s="190" t="s">
        <v>192</v>
      </c>
      <c r="C36" s="154"/>
      <c r="D36" s="152"/>
      <c r="E36" s="184"/>
      <c r="F36" s="210"/>
      <c r="G36" s="210"/>
      <c r="H36" s="212"/>
      <c r="I36" s="212"/>
      <c r="J36" s="210"/>
      <c r="K36" s="211" t="s">
        <v>167</v>
      </c>
      <c r="L36" s="210"/>
      <c r="M36" s="210"/>
      <c r="N36" s="212"/>
      <c r="O36" s="212"/>
      <c r="P36" s="210"/>
      <c r="Q36" s="210"/>
      <c r="R36" s="210"/>
      <c r="S36" s="210"/>
      <c r="T36" s="189"/>
      <c r="U36" s="161"/>
      <c r="V36" s="161"/>
      <c r="W36" s="161"/>
    </row>
    <row r="37" ht="15.75" customHeight="1">
      <c r="A37" s="182"/>
      <c r="B37" s="190" t="s">
        <v>193</v>
      </c>
      <c r="C37" s="154"/>
      <c r="D37" s="152"/>
      <c r="E37" s="184"/>
      <c r="F37" s="210"/>
      <c r="G37" s="210"/>
      <c r="H37" s="212"/>
      <c r="I37" s="212"/>
      <c r="J37" s="210"/>
      <c r="K37" s="210"/>
      <c r="L37" s="210"/>
      <c r="M37" s="211" t="s">
        <v>167</v>
      </c>
      <c r="N37" s="211" t="s">
        <v>167</v>
      </c>
      <c r="O37" s="212"/>
      <c r="P37" s="210"/>
      <c r="Q37" s="210"/>
      <c r="R37" s="210"/>
      <c r="S37" s="210"/>
      <c r="T37" s="189"/>
      <c r="U37" s="161"/>
      <c r="V37" s="161"/>
      <c r="W37" s="161"/>
    </row>
    <row r="38" ht="15.75" customHeight="1">
      <c r="A38" s="182"/>
      <c r="B38" s="190" t="s">
        <v>194</v>
      </c>
      <c r="C38" s="154"/>
      <c r="D38" s="152"/>
      <c r="E38" s="184"/>
      <c r="F38" s="210"/>
      <c r="G38" s="210"/>
      <c r="H38" s="212"/>
      <c r="I38" s="212"/>
      <c r="J38" s="210"/>
      <c r="K38" s="210"/>
      <c r="L38" s="210"/>
      <c r="M38" s="210"/>
      <c r="N38" s="212"/>
      <c r="O38" s="211" t="s">
        <v>167</v>
      </c>
      <c r="P38" s="210"/>
      <c r="Q38" s="210"/>
      <c r="R38" s="210"/>
      <c r="S38" s="210"/>
      <c r="T38" s="189"/>
      <c r="U38" s="161"/>
      <c r="V38" s="161"/>
      <c r="W38" s="161"/>
    </row>
    <row r="39" ht="15.75" customHeight="1">
      <c r="A39" s="182"/>
      <c r="B39" s="213" t="s">
        <v>195</v>
      </c>
      <c r="C39" s="214"/>
      <c r="D39" s="215"/>
      <c r="E39" s="216"/>
      <c r="F39" s="217"/>
      <c r="G39" s="198"/>
      <c r="H39" s="217"/>
      <c r="I39" s="198"/>
      <c r="J39" s="198"/>
      <c r="K39" s="217"/>
      <c r="L39" s="217"/>
      <c r="M39" s="217"/>
      <c r="N39" s="217"/>
      <c r="O39" s="199"/>
      <c r="P39" s="199" t="s">
        <v>167</v>
      </c>
      <c r="Q39" s="218"/>
      <c r="R39" s="218"/>
      <c r="S39" s="218"/>
      <c r="T39" s="219"/>
      <c r="U39" s="161"/>
      <c r="V39" s="161"/>
      <c r="W39" s="161"/>
    </row>
    <row r="40" ht="15.75" customHeight="1">
      <c r="A40" s="220" t="s">
        <v>196</v>
      </c>
      <c r="B40" s="221" t="s">
        <v>197</v>
      </c>
      <c r="C40" s="176"/>
      <c r="D40" s="177"/>
      <c r="E40" s="178"/>
      <c r="F40" s="222" t="s">
        <v>137</v>
      </c>
      <c r="G40" s="222" t="s">
        <v>61</v>
      </c>
      <c r="H40" s="223" t="s">
        <v>138</v>
      </c>
      <c r="I40" s="223" t="s">
        <v>138</v>
      </c>
      <c r="J40" s="222" t="s">
        <v>61</v>
      </c>
      <c r="K40" s="222" t="s">
        <v>61</v>
      </c>
      <c r="L40" s="222" t="s">
        <v>61</v>
      </c>
      <c r="M40" s="223" t="s">
        <v>138</v>
      </c>
      <c r="N40" s="223" t="s">
        <v>138</v>
      </c>
      <c r="O40" s="222" t="s">
        <v>61</v>
      </c>
      <c r="P40" s="222" t="s">
        <v>61</v>
      </c>
      <c r="Q40" s="222"/>
      <c r="R40" s="222"/>
      <c r="S40" s="222"/>
      <c r="T40" s="224"/>
      <c r="U40" s="161"/>
      <c r="V40" s="161"/>
      <c r="W40" s="161"/>
    </row>
    <row r="41" ht="15.75" customHeight="1">
      <c r="A41" s="182"/>
      <c r="B41" s="221" t="s">
        <v>198</v>
      </c>
      <c r="C41" s="176"/>
      <c r="D41" s="177"/>
      <c r="E41" s="184"/>
      <c r="F41" s="225" t="s">
        <v>199</v>
      </c>
      <c r="G41" s="225" t="s">
        <v>199</v>
      </c>
      <c r="H41" s="225" t="s">
        <v>199</v>
      </c>
      <c r="I41" s="225" t="s">
        <v>199</v>
      </c>
      <c r="J41" s="225" t="s">
        <v>199</v>
      </c>
      <c r="K41" s="225" t="s">
        <v>199</v>
      </c>
      <c r="L41" s="225" t="s">
        <v>199</v>
      </c>
      <c r="M41" s="225" t="s">
        <v>199</v>
      </c>
      <c r="N41" s="225" t="s">
        <v>199</v>
      </c>
      <c r="O41" s="225" t="s">
        <v>199</v>
      </c>
      <c r="P41" s="225" t="s">
        <v>199</v>
      </c>
      <c r="Q41" s="225"/>
      <c r="R41" s="225"/>
      <c r="S41" s="225"/>
      <c r="T41" s="226"/>
      <c r="U41" s="161"/>
      <c r="V41" s="161"/>
      <c r="W41" s="161"/>
    </row>
    <row r="42" ht="15.75" customHeight="1">
      <c r="A42" s="182"/>
      <c r="B42" s="221" t="s">
        <v>200</v>
      </c>
      <c r="C42" s="176"/>
      <c r="D42" s="177"/>
      <c r="E42" s="184"/>
      <c r="F42" s="227">
        <v>45962.0</v>
      </c>
      <c r="G42" s="227">
        <v>45962.0</v>
      </c>
      <c r="H42" s="227">
        <v>45962.0</v>
      </c>
      <c r="I42" s="227">
        <v>45962.0</v>
      </c>
      <c r="J42" s="227">
        <v>45962.0</v>
      </c>
      <c r="K42" s="227">
        <v>45962.0</v>
      </c>
      <c r="L42" s="227">
        <v>45962.0</v>
      </c>
      <c r="M42" s="227">
        <v>45962.0</v>
      </c>
      <c r="N42" s="227">
        <v>45962.0</v>
      </c>
      <c r="O42" s="227">
        <v>45962.0</v>
      </c>
      <c r="P42" s="227">
        <v>45962.0</v>
      </c>
      <c r="Q42" s="228"/>
      <c r="R42" s="228"/>
      <c r="S42" s="228"/>
      <c r="T42" s="229"/>
      <c r="U42" s="161"/>
      <c r="V42" s="161"/>
      <c r="W42" s="161"/>
    </row>
    <row r="43" ht="15.75" customHeight="1">
      <c r="A43" s="182"/>
      <c r="B43" s="230" t="s">
        <v>201</v>
      </c>
      <c r="C43" s="231"/>
      <c r="D43" s="232"/>
      <c r="E43" s="233"/>
      <c r="F43" s="217"/>
      <c r="G43" s="217"/>
      <c r="H43" s="217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5"/>
      <c r="T43" s="236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>
      <c r="A240" s="161"/>
      <c r="B240" s="161"/>
      <c r="C240" s="161"/>
      <c r="D240" s="161"/>
      <c r="E240" s="169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 ht="15.75" customHeight="1">
      <c r="A241" s="161"/>
      <c r="B241" s="161"/>
      <c r="C241" s="161"/>
      <c r="D241" s="161"/>
      <c r="E241" s="169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 ht="15.75" customHeight="1">
      <c r="A242" s="161"/>
      <c r="B242" s="161"/>
      <c r="C242" s="161"/>
      <c r="D242" s="161"/>
      <c r="E242" s="169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 ht="15.75" customHeight="1">
      <c r="A243" s="161"/>
      <c r="B243" s="161"/>
      <c r="C243" s="161"/>
      <c r="D243" s="161"/>
      <c r="E243" s="169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55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9:D39"/>
    <mergeCell ref="B40:D40"/>
    <mergeCell ref="B41:D41"/>
    <mergeCell ref="B42:D42"/>
    <mergeCell ref="B43:D43"/>
    <mergeCell ref="B32:D32"/>
    <mergeCell ref="B33:D33"/>
    <mergeCell ref="B34:D34"/>
    <mergeCell ref="B35:D35"/>
    <mergeCell ref="B36:D36"/>
    <mergeCell ref="B37:D37"/>
    <mergeCell ref="B38:D38"/>
  </mergeCells>
  <dataValidations>
    <dataValidation type="list" allowBlank="1" showInputMessage="1" showErrorMessage="1" prompt="Click and enter a value from the list of items" sqref="F41:T41">
      <formula1>"P,F"</formula1>
    </dataValidation>
    <dataValidation type="list" allowBlank="1" showInputMessage="1" showErrorMessage="1" prompt=" - " sqref="F8:T39">
      <formula1>"O"</formula1>
    </dataValidation>
    <dataValidation type="list" allowBlank="1" showInputMessage="1" showErrorMessage="1" prompt="Click and enter a value from the list of items" sqref="F40:T40">
      <formula1>"A,B,N"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96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76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45962.0</v>
      </c>
      <c r="G26" s="227">
        <v>45962.0</v>
      </c>
      <c r="H26" s="227">
        <v>45962.0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96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77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45962.0</v>
      </c>
      <c r="G26" s="227">
        <v>45962.0</v>
      </c>
      <c r="H26" s="227">
        <v>45962.0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97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78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247" t="s">
        <v>205</v>
      </c>
      <c r="C12" s="194"/>
      <c r="D12" s="195"/>
      <c r="E12" s="196"/>
      <c r="F12" s="197"/>
      <c r="G12" s="198" t="s">
        <v>167</v>
      </c>
      <c r="H12" s="198"/>
      <c r="I12" s="198"/>
      <c r="J12" s="239"/>
      <c r="K12" s="198"/>
      <c r="L12" s="197"/>
      <c r="M12" s="197"/>
      <c r="N12" s="197"/>
      <c r="O12" s="199"/>
      <c r="P12" s="199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240"/>
      <c r="I13" s="240"/>
      <c r="J13" s="240"/>
      <c r="K13" s="240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238"/>
      <c r="I14" s="238"/>
      <c r="J14" s="238"/>
      <c r="K14" s="23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238"/>
      <c r="H15" s="241"/>
      <c r="I15" s="241"/>
      <c r="J15" s="241"/>
      <c r="K15" s="241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238"/>
      <c r="I16" s="238"/>
      <c r="J16" s="238"/>
      <c r="K16" s="23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185" t="s">
        <v>167</v>
      </c>
      <c r="H17" s="185"/>
      <c r="I17" s="238"/>
      <c r="J17" s="238"/>
      <c r="K17" s="23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42"/>
      <c r="I18" s="242"/>
      <c r="J18" s="242"/>
      <c r="K18" s="242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91" t="s">
        <v>206</v>
      </c>
      <c r="C19" s="154"/>
      <c r="D19" s="152"/>
      <c r="E19" s="184"/>
      <c r="F19" s="210"/>
      <c r="G19" s="243"/>
      <c r="H19" s="243"/>
      <c r="I19" s="243"/>
      <c r="J19" s="212"/>
      <c r="K19" s="243"/>
      <c r="L19" s="210"/>
      <c r="M19" s="210"/>
      <c r="N19" s="212"/>
      <c r="O19" s="211"/>
      <c r="P19" s="210"/>
      <c r="Q19" s="210"/>
      <c r="R19" s="210"/>
      <c r="S19" s="210"/>
      <c r="T19" s="189"/>
      <c r="U19" s="161"/>
      <c r="V19" s="161"/>
      <c r="W19" s="161"/>
    </row>
    <row r="20" ht="15.75" customHeight="1">
      <c r="A20" s="182"/>
      <c r="B20" s="213" t="s">
        <v>195</v>
      </c>
      <c r="C20" s="214"/>
      <c r="D20" s="215"/>
      <c r="E20" s="216"/>
      <c r="F20" s="217"/>
      <c r="G20" s="198" t="s">
        <v>167</v>
      </c>
      <c r="H20" s="198"/>
      <c r="I20" s="198"/>
      <c r="J20" s="239"/>
      <c r="K20" s="198"/>
      <c r="L20" s="217"/>
      <c r="M20" s="217"/>
      <c r="N20" s="217"/>
      <c r="O20" s="199"/>
      <c r="P20" s="199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45"/>
      <c r="I21" s="245"/>
      <c r="J21" s="222"/>
      <c r="K21" s="222"/>
      <c r="L21" s="222"/>
      <c r="M21" s="223"/>
      <c r="N21" s="223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45963.0</v>
      </c>
      <c r="G23" s="227">
        <v>45963.0</v>
      </c>
      <c r="H23" s="246"/>
      <c r="I23" s="246"/>
      <c r="J23" s="246"/>
      <c r="K23" s="246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97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79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247" t="s">
        <v>205</v>
      </c>
      <c r="C12" s="194"/>
      <c r="D12" s="195"/>
      <c r="E12" s="196"/>
      <c r="F12" s="197"/>
      <c r="G12" s="198" t="s">
        <v>167</v>
      </c>
      <c r="H12" s="198"/>
      <c r="I12" s="198"/>
      <c r="J12" s="239"/>
      <c r="K12" s="198"/>
      <c r="L12" s="197"/>
      <c r="M12" s="197"/>
      <c r="N12" s="197"/>
      <c r="O12" s="199"/>
      <c r="P12" s="199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240"/>
      <c r="I13" s="240"/>
      <c r="J13" s="240"/>
      <c r="K13" s="240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238"/>
      <c r="I14" s="238"/>
      <c r="J14" s="238"/>
      <c r="K14" s="23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238"/>
      <c r="H15" s="241"/>
      <c r="I15" s="241"/>
      <c r="J15" s="241"/>
      <c r="K15" s="241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238"/>
      <c r="I16" s="238"/>
      <c r="J16" s="238"/>
      <c r="K16" s="23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185" t="s">
        <v>167</v>
      </c>
      <c r="H17" s="185"/>
      <c r="I17" s="238"/>
      <c r="J17" s="238"/>
      <c r="K17" s="23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42"/>
      <c r="I18" s="242"/>
      <c r="J18" s="242"/>
      <c r="K18" s="242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91" t="s">
        <v>206</v>
      </c>
      <c r="C19" s="154"/>
      <c r="D19" s="152"/>
      <c r="E19" s="184"/>
      <c r="F19" s="210"/>
      <c r="G19" s="243"/>
      <c r="H19" s="243"/>
      <c r="I19" s="243"/>
      <c r="J19" s="212"/>
      <c r="K19" s="243"/>
      <c r="L19" s="210"/>
      <c r="M19" s="210"/>
      <c r="N19" s="212"/>
      <c r="O19" s="211"/>
      <c r="P19" s="210"/>
      <c r="Q19" s="210"/>
      <c r="R19" s="210"/>
      <c r="S19" s="210"/>
      <c r="T19" s="189"/>
      <c r="U19" s="161"/>
      <c r="V19" s="161"/>
      <c r="W19" s="161"/>
    </row>
    <row r="20" ht="15.75" customHeight="1">
      <c r="A20" s="182"/>
      <c r="B20" s="213" t="s">
        <v>195</v>
      </c>
      <c r="C20" s="214"/>
      <c r="D20" s="215"/>
      <c r="E20" s="216"/>
      <c r="F20" s="217"/>
      <c r="G20" s="198" t="s">
        <v>167</v>
      </c>
      <c r="H20" s="198"/>
      <c r="I20" s="198"/>
      <c r="J20" s="239"/>
      <c r="K20" s="198"/>
      <c r="L20" s="217"/>
      <c r="M20" s="217"/>
      <c r="N20" s="217"/>
      <c r="O20" s="199"/>
      <c r="P20" s="199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45"/>
      <c r="I21" s="245"/>
      <c r="J21" s="222"/>
      <c r="K21" s="222"/>
      <c r="L21" s="222"/>
      <c r="M21" s="223"/>
      <c r="N21" s="223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45963.0</v>
      </c>
      <c r="G23" s="227">
        <v>45963.0</v>
      </c>
      <c r="H23" s="246"/>
      <c r="I23" s="246"/>
      <c r="J23" s="246"/>
      <c r="K23" s="246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96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80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45963.0</v>
      </c>
      <c r="G26" s="227">
        <v>45963.0</v>
      </c>
      <c r="H26" s="227">
        <v>45963.0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97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81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247" t="s">
        <v>205</v>
      </c>
      <c r="C12" s="194"/>
      <c r="D12" s="195"/>
      <c r="E12" s="196"/>
      <c r="F12" s="197"/>
      <c r="G12" s="198" t="s">
        <v>167</v>
      </c>
      <c r="H12" s="198"/>
      <c r="I12" s="198"/>
      <c r="J12" s="239"/>
      <c r="K12" s="198"/>
      <c r="L12" s="197"/>
      <c r="M12" s="197"/>
      <c r="N12" s="197"/>
      <c r="O12" s="199"/>
      <c r="P12" s="199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240"/>
      <c r="I13" s="240"/>
      <c r="J13" s="240"/>
      <c r="K13" s="240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238"/>
      <c r="I14" s="238"/>
      <c r="J14" s="238"/>
      <c r="K14" s="23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238"/>
      <c r="H15" s="241"/>
      <c r="I15" s="241"/>
      <c r="J15" s="241"/>
      <c r="K15" s="241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238"/>
      <c r="I16" s="238"/>
      <c r="J16" s="238"/>
      <c r="K16" s="23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185" t="s">
        <v>167</v>
      </c>
      <c r="H17" s="185"/>
      <c r="I17" s="238"/>
      <c r="J17" s="238"/>
      <c r="K17" s="23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42"/>
      <c r="I18" s="242"/>
      <c r="J18" s="242"/>
      <c r="K18" s="242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91" t="s">
        <v>206</v>
      </c>
      <c r="C19" s="154"/>
      <c r="D19" s="152"/>
      <c r="E19" s="184"/>
      <c r="F19" s="210"/>
      <c r="G19" s="243"/>
      <c r="H19" s="243"/>
      <c r="I19" s="243"/>
      <c r="J19" s="212"/>
      <c r="K19" s="243"/>
      <c r="L19" s="210"/>
      <c r="M19" s="210"/>
      <c r="N19" s="212"/>
      <c r="O19" s="211"/>
      <c r="P19" s="210"/>
      <c r="Q19" s="210"/>
      <c r="R19" s="210"/>
      <c r="S19" s="210"/>
      <c r="T19" s="189"/>
      <c r="U19" s="161"/>
      <c r="V19" s="161"/>
      <c r="W19" s="161"/>
    </row>
    <row r="20" ht="15.75" customHeight="1">
      <c r="A20" s="182"/>
      <c r="B20" s="213" t="s">
        <v>195</v>
      </c>
      <c r="C20" s="214"/>
      <c r="D20" s="215"/>
      <c r="E20" s="216"/>
      <c r="F20" s="217"/>
      <c r="G20" s="198" t="s">
        <v>167</v>
      </c>
      <c r="H20" s="198"/>
      <c r="I20" s="198"/>
      <c r="J20" s="239"/>
      <c r="K20" s="198"/>
      <c r="L20" s="217"/>
      <c r="M20" s="217"/>
      <c r="N20" s="217"/>
      <c r="O20" s="199"/>
      <c r="P20" s="199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45"/>
      <c r="I21" s="245"/>
      <c r="J21" s="222"/>
      <c r="K21" s="222"/>
      <c r="L21" s="222"/>
      <c r="M21" s="223"/>
      <c r="N21" s="223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45963.0</v>
      </c>
      <c r="G23" s="227">
        <v>45963.0</v>
      </c>
      <c r="H23" s="246"/>
      <c r="I23" s="246"/>
      <c r="J23" s="246"/>
      <c r="K23" s="246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82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COUNTIF(F46:HT46,"P")</f>
        <v>11</v>
      </c>
      <c r="B5" s="165"/>
      <c r="C5" s="164">
        <f>COUNTIF(H46:HV46,"F")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COUNTIF(E45:HT45,"N")</f>
        <v>1</v>
      </c>
      <c r="M5" s="168">
        <f>COUNTIF(F45:HU45,"A")</f>
        <v>10</v>
      </c>
      <c r="N5" s="168">
        <f>COUNTIF(G45:HV45,"B")</f>
        <v>0</v>
      </c>
      <c r="O5" s="167">
        <f>COUNTA(F7:HW7)</f>
        <v>11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 t="s">
        <v>160</v>
      </c>
      <c r="N7" s="171" t="s">
        <v>161</v>
      </c>
      <c r="O7" s="171" t="s">
        <v>162</v>
      </c>
      <c r="P7" s="171" t="s">
        <v>163</v>
      </c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 t="s">
        <v>167</v>
      </c>
      <c r="N9" s="185" t="s">
        <v>167</v>
      </c>
      <c r="O9" s="185" t="s">
        <v>167</v>
      </c>
      <c r="P9" s="185" t="s">
        <v>167</v>
      </c>
      <c r="Q9" s="185"/>
      <c r="R9" s="185"/>
      <c r="S9" s="185"/>
      <c r="T9" s="186"/>
      <c r="U9" s="161"/>
      <c r="V9" s="161"/>
      <c r="W9" s="161"/>
    </row>
    <row r="10">
      <c r="A10" s="182"/>
      <c r="B10" s="248" t="s">
        <v>207</v>
      </c>
      <c r="C10" s="176"/>
      <c r="D10" s="177"/>
      <c r="E10" s="184"/>
      <c r="F10" s="185"/>
      <c r="G10" s="185"/>
      <c r="H10" s="185"/>
      <c r="I10" s="238"/>
      <c r="J10" s="185"/>
      <c r="K10" s="238"/>
      <c r="L10" s="185"/>
      <c r="M10" s="185"/>
      <c r="N10" s="185"/>
      <c r="O10" s="185"/>
      <c r="P10" s="185"/>
      <c r="Q10" s="185"/>
      <c r="R10" s="185"/>
      <c r="S10" s="185"/>
      <c r="T10" s="186"/>
      <c r="U10" s="161"/>
      <c r="V10" s="161"/>
      <c r="W10" s="161"/>
    </row>
    <row r="11">
      <c r="A11" s="182"/>
      <c r="B11" s="190" t="s">
        <v>208</v>
      </c>
      <c r="C11" s="154"/>
      <c r="D11" s="152"/>
      <c r="E11" s="184"/>
      <c r="F11" s="185" t="s">
        <v>167</v>
      </c>
      <c r="G11" s="185"/>
      <c r="H11" s="185" t="s">
        <v>167</v>
      </c>
      <c r="I11" s="185" t="s">
        <v>167</v>
      </c>
      <c r="J11" s="185" t="s">
        <v>167</v>
      </c>
      <c r="K11" s="185" t="s">
        <v>167</v>
      </c>
      <c r="L11" s="185" t="s">
        <v>167</v>
      </c>
      <c r="M11" s="185" t="s">
        <v>167</v>
      </c>
      <c r="N11" s="185" t="s">
        <v>167</v>
      </c>
      <c r="O11" s="185" t="s">
        <v>167</v>
      </c>
      <c r="P11" s="185" t="s">
        <v>167</v>
      </c>
      <c r="Q11" s="185"/>
      <c r="R11" s="185"/>
      <c r="S11" s="185"/>
      <c r="T11" s="186"/>
      <c r="U11" s="161"/>
      <c r="V11" s="161"/>
      <c r="W11" s="161"/>
    </row>
    <row r="12">
      <c r="A12" s="182"/>
      <c r="B12" s="190" t="s">
        <v>209</v>
      </c>
      <c r="C12" s="154"/>
      <c r="D12" s="152"/>
      <c r="E12" s="184"/>
      <c r="F12" s="185"/>
      <c r="G12" s="185" t="s">
        <v>167</v>
      </c>
      <c r="H12" s="185"/>
      <c r="I12" s="238"/>
      <c r="J12" s="185"/>
      <c r="K12" s="238"/>
      <c r="L12" s="185"/>
      <c r="M12" s="185"/>
      <c r="N12" s="185"/>
      <c r="O12" s="185"/>
      <c r="P12" s="185"/>
      <c r="Q12" s="185"/>
      <c r="R12" s="185"/>
      <c r="S12" s="185"/>
      <c r="T12" s="186"/>
      <c r="U12" s="161"/>
      <c r="V12" s="161"/>
      <c r="W12" s="161"/>
    </row>
    <row r="13">
      <c r="A13" s="182"/>
      <c r="B13" s="187" t="s">
        <v>203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90" t="s">
        <v>204</v>
      </c>
      <c r="C14" s="154"/>
      <c r="D14" s="152"/>
      <c r="E14" s="184"/>
      <c r="F14" s="185" t="s">
        <v>167</v>
      </c>
      <c r="G14" s="185" t="s">
        <v>167</v>
      </c>
      <c r="H14" s="238"/>
      <c r="I14" s="185" t="s">
        <v>167</v>
      </c>
      <c r="J14" s="185" t="s">
        <v>167</v>
      </c>
      <c r="K14" s="185" t="s">
        <v>167</v>
      </c>
      <c r="L14" s="185" t="s">
        <v>167</v>
      </c>
      <c r="M14" s="185" t="s">
        <v>167</v>
      </c>
      <c r="N14" s="185" t="s">
        <v>167</v>
      </c>
      <c r="O14" s="185" t="s">
        <v>167</v>
      </c>
      <c r="P14" s="185" t="s">
        <v>167</v>
      </c>
      <c r="Q14" s="188"/>
      <c r="R14" s="188"/>
      <c r="S14" s="188"/>
      <c r="T14" s="189"/>
      <c r="U14" s="161"/>
      <c r="V14" s="161"/>
      <c r="W14" s="161"/>
    </row>
    <row r="15">
      <c r="A15" s="182"/>
      <c r="B15" s="190" t="s">
        <v>205</v>
      </c>
      <c r="C15" s="154"/>
      <c r="D15" s="152"/>
      <c r="E15" s="184"/>
      <c r="F15" s="188"/>
      <c r="G15" s="185"/>
      <c r="H15" s="185" t="s">
        <v>167</v>
      </c>
      <c r="I15" s="238"/>
      <c r="J15" s="238"/>
      <c r="K15" s="238"/>
      <c r="L15" s="185"/>
      <c r="M15" s="188"/>
      <c r="N15" s="188"/>
      <c r="O15" s="188"/>
      <c r="P15" s="188"/>
      <c r="Q15" s="188"/>
      <c r="R15" s="188"/>
      <c r="S15" s="188"/>
      <c r="T15" s="189"/>
      <c r="U15" s="161"/>
      <c r="V15" s="161"/>
      <c r="W15" s="161"/>
    </row>
    <row r="16">
      <c r="A16" s="182"/>
      <c r="B16" s="187" t="s">
        <v>180</v>
      </c>
      <c r="C16" s="154"/>
      <c r="D16" s="152"/>
      <c r="E16" s="184"/>
      <c r="F16" s="188"/>
      <c r="G16" s="238"/>
      <c r="H16" s="238"/>
      <c r="I16" s="238"/>
      <c r="J16" s="238"/>
      <c r="K16" s="23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181</v>
      </c>
      <c r="C17" s="154"/>
      <c r="D17" s="152"/>
      <c r="E17" s="184"/>
      <c r="F17" s="185" t="s">
        <v>167</v>
      </c>
      <c r="G17" s="185" t="s">
        <v>167</v>
      </c>
      <c r="H17" s="185" t="s">
        <v>167</v>
      </c>
      <c r="I17" s="238"/>
      <c r="J17" s="185" t="s">
        <v>167</v>
      </c>
      <c r="K17" s="185" t="s">
        <v>167</v>
      </c>
      <c r="L17" s="185" t="s">
        <v>167</v>
      </c>
      <c r="M17" s="185" t="s">
        <v>167</v>
      </c>
      <c r="N17" s="185" t="s">
        <v>167</v>
      </c>
      <c r="O17" s="185" t="s">
        <v>167</v>
      </c>
      <c r="P17" s="185" t="s">
        <v>167</v>
      </c>
      <c r="Q17" s="188"/>
      <c r="R17" s="188"/>
      <c r="S17" s="188"/>
      <c r="T17" s="189"/>
      <c r="U17" s="161"/>
      <c r="V17" s="161"/>
      <c r="W17" s="161"/>
    </row>
    <row r="18">
      <c r="A18" s="182"/>
      <c r="B18" s="190" t="s">
        <v>182</v>
      </c>
      <c r="C18" s="154"/>
      <c r="D18" s="152"/>
      <c r="E18" s="249"/>
      <c r="F18" s="212"/>
      <c r="G18" s="212"/>
      <c r="H18" s="212"/>
      <c r="I18" s="185" t="s">
        <v>167</v>
      </c>
      <c r="J18" s="212"/>
      <c r="K18" s="243"/>
      <c r="L18" s="212"/>
      <c r="M18" s="212"/>
      <c r="N18" s="212"/>
      <c r="O18" s="212"/>
      <c r="P18" s="210"/>
      <c r="Q18" s="210"/>
      <c r="R18" s="210"/>
      <c r="S18" s="210"/>
      <c r="T18" s="250"/>
      <c r="U18" s="161"/>
      <c r="V18" s="161"/>
      <c r="W18" s="161"/>
    </row>
    <row r="19">
      <c r="A19" s="182"/>
      <c r="B19" s="187" t="s">
        <v>210</v>
      </c>
      <c r="C19" s="154"/>
      <c r="D19" s="152"/>
      <c r="E19" s="249"/>
      <c r="F19" s="212"/>
      <c r="G19" s="212"/>
      <c r="H19" s="212"/>
      <c r="I19" s="243"/>
      <c r="J19" s="212"/>
      <c r="K19" s="243"/>
      <c r="L19" s="212"/>
      <c r="M19" s="212"/>
      <c r="N19" s="212"/>
      <c r="O19" s="212"/>
      <c r="P19" s="210"/>
      <c r="Q19" s="210"/>
      <c r="R19" s="210"/>
      <c r="S19" s="210"/>
      <c r="T19" s="250"/>
      <c r="U19" s="161"/>
      <c r="V19" s="161"/>
      <c r="W19" s="161"/>
    </row>
    <row r="20">
      <c r="A20" s="182"/>
      <c r="B20" s="190" t="s">
        <v>211</v>
      </c>
      <c r="C20" s="154"/>
      <c r="D20" s="152"/>
      <c r="E20" s="249"/>
      <c r="F20" s="185" t="s">
        <v>167</v>
      </c>
      <c r="G20" s="185" t="s">
        <v>167</v>
      </c>
      <c r="H20" s="185" t="s">
        <v>167</v>
      </c>
      <c r="I20" s="185" t="s">
        <v>167</v>
      </c>
      <c r="J20" s="212"/>
      <c r="K20" s="243"/>
      <c r="L20" s="212"/>
      <c r="M20" s="212"/>
      <c r="N20" s="185" t="s">
        <v>167</v>
      </c>
      <c r="O20" s="185" t="s">
        <v>167</v>
      </c>
      <c r="P20" s="185" t="s">
        <v>167</v>
      </c>
      <c r="Q20" s="210"/>
      <c r="R20" s="210"/>
      <c r="S20" s="210"/>
      <c r="T20" s="250"/>
      <c r="U20" s="161"/>
      <c r="V20" s="161"/>
      <c r="W20" s="161"/>
    </row>
    <row r="21">
      <c r="A21" s="182"/>
      <c r="B21" s="190" t="s">
        <v>170</v>
      </c>
      <c r="C21" s="154"/>
      <c r="D21" s="152"/>
      <c r="E21" s="249"/>
      <c r="F21" s="212"/>
      <c r="G21" s="212"/>
      <c r="H21" s="212"/>
      <c r="I21" s="243"/>
      <c r="J21" s="185" t="s">
        <v>167</v>
      </c>
      <c r="K21" s="243"/>
      <c r="L21" s="212"/>
      <c r="M21" s="212"/>
      <c r="N21" s="212"/>
      <c r="O21" s="212"/>
      <c r="P21" s="210"/>
      <c r="Q21" s="210"/>
      <c r="R21" s="210"/>
      <c r="S21" s="210"/>
      <c r="T21" s="250"/>
      <c r="U21" s="161"/>
      <c r="V21" s="161"/>
      <c r="W21" s="161"/>
    </row>
    <row r="22">
      <c r="A22" s="182"/>
      <c r="B22" s="190" t="s">
        <v>212</v>
      </c>
      <c r="C22" s="154"/>
      <c r="D22" s="152"/>
      <c r="E22" s="249"/>
      <c r="F22" s="212"/>
      <c r="G22" s="212"/>
      <c r="H22" s="212"/>
      <c r="I22" s="243"/>
      <c r="J22" s="212"/>
      <c r="K22" s="185" t="s">
        <v>167</v>
      </c>
      <c r="L22" s="212"/>
      <c r="M22" s="212"/>
      <c r="N22" s="212"/>
      <c r="O22" s="212"/>
      <c r="P22" s="210"/>
      <c r="Q22" s="210"/>
      <c r="R22" s="210"/>
      <c r="S22" s="210"/>
      <c r="T22" s="250"/>
      <c r="U22" s="161"/>
      <c r="V22" s="161"/>
      <c r="W22" s="161"/>
    </row>
    <row r="23">
      <c r="A23" s="182"/>
      <c r="B23" s="190" t="s">
        <v>213</v>
      </c>
      <c r="C23" s="154"/>
      <c r="D23" s="152"/>
      <c r="E23" s="249"/>
      <c r="F23" s="212"/>
      <c r="G23" s="212"/>
      <c r="H23" s="212"/>
      <c r="I23" s="243"/>
      <c r="J23" s="212"/>
      <c r="K23" s="243"/>
      <c r="L23" s="185" t="s">
        <v>167</v>
      </c>
      <c r="M23" s="212"/>
      <c r="N23" s="212"/>
      <c r="O23" s="212"/>
      <c r="P23" s="210"/>
      <c r="Q23" s="210"/>
      <c r="R23" s="210"/>
      <c r="S23" s="210"/>
      <c r="T23" s="250"/>
      <c r="U23" s="161"/>
      <c r="V23" s="161"/>
      <c r="W23" s="161"/>
    </row>
    <row r="24">
      <c r="A24" s="182"/>
      <c r="B24" s="190" t="s">
        <v>214</v>
      </c>
      <c r="C24" s="154"/>
      <c r="D24" s="152"/>
      <c r="E24" s="249"/>
      <c r="F24" s="212"/>
      <c r="G24" s="212"/>
      <c r="H24" s="212"/>
      <c r="I24" s="243"/>
      <c r="J24" s="212"/>
      <c r="K24" s="243"/>
      <c r="L24" s="212"/>
      <c r="M24" s="185" t="s">
        <v>167</v>
      </c>
      <c r="N24" s="212"/>
      <c r="O24" s="212"/>
      <c r="P24" s="210"/>
      <c r="Q24" s="210"/>
      <c r="R24" s="210"/>
      <c r="S24" s="210"/>
      <c r="T24" s="250"/>
      <c r="U24" s="161"/>
      <c r="V24" s="161"/>
      <c r="W24" s="161"/>
    </row>
    <row r="25">
      <c r="A25" s="182"/>
      <c r="B25" s="187" t="s">
        <v>215</v>
      </c>
      <c r="C25" s="154"/>
      <c r="D25" s="152"/>
      <c r="E25" s="249"/>
      <c r="F25" s="212"/>
      <c r="G25" s="212"/>
      <c r="H25" s="212"/>
      <c r="I25" s="243"/>
      <c r="J25" s="212"/>
      <c r="K25" s="243"/>
      <c r="L25" s="212"/>
      <c r="M25" s="212"/>
      <c r="N25" s="212"/>
      <c r="O25" s="212"/>
      <c r="P25" s="210"/>
      <c r="Q25" s="210"/>
      <c r="R25" s="210"/>
      <c r="S25" s="210"/>
      <c r="T25" s="250"/>
      <c r="U25" s="161"/>
      <c r="V25" s="161"/>
      <c r="W25" s="161"/>
    </row>
    <row r="26">
      <c r="A26" s="182"/>
      <c r="B26" s="190" t="s">
        <v>216</v>
      </c>
      <c r="C26" s="154"/>
      <c r="D26" s="152"/>
      <c r="E26" s="249"/>
      <c r="F26" s="185" t="s">
        <v>167</v>
      </c>
      <c r="G26" s="185" t="s">
        <v>167</v>
      </c>
      <c r="H26" s="185" t="s">
        <v>167</v>
      </c>
      <c r="I26" s="185" t="s">
        <v>167</v>
      </c>
      <c r="J26" s="185" t="s">
        <v>167</v>
      </c>
      <c r="K26" s="185" t="s">
        <v>167</v>
      </c>
      <c r="L26" s="185" t="s">
        <v>167</v>
      </c>
      <c r="M26" s="185" t="s">
        <v>167</v>
      </c>
      <c r="N26" s="212"/>
      <c r="O26" s="212"/>
      <c r="P26" s="210"/>
      <c r="Q26" s="210"/>
      <c r="R26" s="210"/>
      <c r="S26" s="210"/>
      <c r="T26" s="250"/>
      <c r="U26" s="161"/>
      <c r="V26" s="161"/>
      <c r="W26" s="161"/>
    </row>
    <row r="27">
      <c r="A27" s="182"/>
      <c r="B27" s="190" t="s">
        <v>170</v>
      </c>
      <c r="C27" s="154"/>
      <c r="D27" s="152"/>
      <c r="E27" s="249"/>
      <c r="F27" s="212"/>
      <c r="G27" s="212"/>
      <c r="H27" s="212"/>
      <c r="I27" s="243"/>
      <c r="J27" s="212"/>
      <c r="K27" s="243"/>
      <c r="L27" s="212"/>
      <c r="M27" s="212"/>
      <c r="N27" s="211" t="s">
        <v>167</v>
      </c>
      <c r="O27" s="212"/>
      <c r="P27" s="210"/>
      <c r="Q27" s="210"/>
      <c r="R27" s="210"/>
      <c r="S27" s="210"/>
      <c r="T27" s="250"/>
      <c r="U27" s="161"/>
      <c r="V27" s="161"/>
      <c r="W27" s="161"/>
    </row>
    <row r="28">
      <c r="A28" s="182"/>
      <c r="B28" s="190" t="s">
        <v>217</v>
      </c>
      <c r="C28" s="154"/>
      <c r="D28" s="152"/>
      <c r="E28" s="249"/>
      <c r="F28" s="212"/>
      <c r="G28" s="212"/>
      <c r="H28" s="212"/>
      <c r="I28" s="243"/>
      <c r="J28" s="212"/>
      <c r="K28" s="243"/>
      <c r="L28" s="212"/>
      <c r="M28" s="212"/>
      <c r="N28" s="212"/>
      <c r="O28" s="211" t="s">
        <v>167</v>
      </c>
      <c r="P28" s="210"/>
      <c r="Q28" s="210"/>
      <c r="R28" s="210"/>
      <c r="S28" s="210"/>
      <c r="T28" s="250"/>
      <c r="U28" s="161"/>
      <c r="V28" s="161"/>
      <c r="W28" s="161"/>
    </row>
    <row r="29">
      <c r="A29" s="182"/>
      <c r="B29" s="190" t="s">
        <v>218</v>
      </c>
      <c r="C29" s="154"/>
      <c r="D29" s="152"/>
      <c r="E29" s="249"/>
      <c r="F29" s="212"/>
      <c r="G29" s="212"/>
      <c r="H29" s="212"/>
      <c r="I29" s="243"/>
      <c r="J29" s="212"/>
      <c r="K29" s="243"/>
      <c r="L29" s="212"/>
      <c r="M29" s="212"/>
      <c r="N29" s="212"/>
      <c r="O29" s="212"/>
      <c r="P29" s="185" t="s">
        <v>167</v>
      </c>
      <c r="Q29" s="210"/>
      <c r="R29" s="210"/>
      <c r="S29" s="210"/>
      <c r="T29" s="250"/>
      <c r="U29" s="161"/>
      <c r="V29" s="161"/>
      <c r="W29" s="161"/>
    </row>
    <row r="30">
      <c r="A30" s="182"/>
      <c r="B30" s="187" t="s">
        <v>219</v>
      </c>
      <c r="C30" s="154"/>
      <c r="D30" s="152"/>
      <c r="E30" s="249"/>
      <c r="F30" s="212"/>
      <c r="G30" s="212"/>
      <c r="H30" s="212"/>
      <c r="I30" s="243"/>
      <c r="J30" s="212"/>
      <c r="K30" s="243"/>
      <c r="L30" s="212"/>
      <c r="M30" s="212"/>
      <c r="N30" s="212"/>
      <c r="O30" s="212"/>
      <c r="P30" s="210"/>
      <c r="Q30" s="210"/>
      <c r="R30" s="210"/>
      <c r="S30" s="210"/>
      <c r="T30" s="250"/>
      <c r="U30" s="161"/>
      <c r="V30" s="161"/>
      <c r="W30" s="161"/>
    </row>
    <row r="31">
      <c r="A31" s="192"/>
      <c r="B31" s="247" t="s">
        <v>220</v>
      </c>
      <c r="C31" s="194"/>
      <c r="D31" s="195"/>
      <c r="E31" s="196"/>
      <c r="F31" s="198" t="s">
        <v>167</v>
      </c>
      <c r="G31" s="198" t="s">
        <v>167</v>
      </c>
      <c r="H31" s="199" t="s">
        <v>167</v>
      </c>
      <c r="I31" s="199" t="s">
        <v>167</v>
      </c>
      <c r="J31" s="199" t="s">
        <v>167</v>
      </c>
      <c r="K31" s="199" t="s">
        <v>167</v>
      </c>
      <c r="L31" s="199" t="s">
        <v>167</v>
      </c>
      <c r="M31" s="199" t="s">
        <v>167</v>
      </c>
      <c r="N31" s="199" t="s">
        <v>167</v>
      </c>
      <c r="O31" s="199" t="s">
        <v>167</v>
      </c>
      <c r="P31" s="199" t="s">
        <v>167</v>
      </c>
      <c r="Q31" s="197"/>
      <c r="R31" s="197"/>
      <c r="S31" s="197"/>
      <c r="T31" s="200"/>
      <c r="U31" s="161"/>
      <c r="V31" s="161"/>
      <c r="W31" s="161"/>
    </row>
    <row r="32">
      <c r="A32" s="174" t="s">
        <v>183</v>
      </c>
      <c r="B32" s="201" t="s">
        <v>184</v>
      </c>
      <c r="D32" s="202"/>
      <c r="E32" s="203"/>
      <c r="F32" s="179"/>
      <c r="G32" s="240"/>
      <c r="H32" s="240"/>
      <c r="I32" s="240"/>
      <c r="J32" s="240"/>
      <c r="K32" s="240"/>
      <c r="L32" s="179"/>
      <c r="M32" s="179"/>
      <c r="N32" s="179"/>
      <c r="O32" s="179"/>
      <c r="P32" s="179"/>
      <c r="Q32" s="179"/>
      <c r="R32" s="179"/>
      <c r="S32" s="179"/>
      <c r="T32" s="181"/>
      <c r="U32" s="161"/>
      <c r="V32" s="161"/>
      <c r="W32" s="161"/>
    </row>
    <row r="33">
      <c r="A33" s="182"/>
      <c r="B33" s="204" t="b">
        <v>1</v>
      </c>
      <c r="C33" s="154"/>
      <c r="D33" s="152"/>
      <c r="E33" s="184"/>
      <c r="F33" s="185" t="s">
        <v>167</v>
      </c>
      <c r="G33" s="238"/>
      <c r="H33" s="238"/>
      <c r="I33" s="238"/>
      <c r="J33" s="238"/>
      <c r="K33" s="238"/>
      <c r="L33" s="188"/>
      <c r="M33" s="188"/>
      <c r="N33" s="188"/>
      <c r="O33" s="188"/>
      <c r="P33" s="188"/>
      <c r="Q33" s="188"/>
      <c r="R33" s="188"/>
      <c r="S33" s="188"/>
      <c r="T33" s="189"/>
      <c r="U33" s="161"/>
      <c r="V33" s="161"/>
      <c r="W33" s="161"/>
    </row>
    <row r="34">
      <c r="A34" s="182"/>
      <c r="B34" s="204" t="b">
        <v>0</v>
      </c>
      <c r="C34" s="154"/>
      <c r="D34" s="152"/>
      <c r="E34" s="184"/>
      <c r="F34" s="188"/>
      <c r="G34" s="238"/>
      <c r="H34" s="241"/>
      <c r="I34" s="241"/>
      <c r="J34" s="241"/>
      <c r="K34" s="241"/>
      <c r="L34" s="185"/>
      <c r="M34" s="185"/>
      <c r="N34" s="188"/>
      <c r="O34" s="188"/>
      <c r="P34" s="185"/>
      <c r="Q34" s="185"/>
      <c r="R34" s="185"/>
      <c r="S34" s="185"/>
      <c r="T34" s="186"/>
      <c r="U34" s="161"/>
      <c r="V34" s="161"/>
      <c r="W34" s="161"/>
    </row>
    <row r="35">
      <c r="A35" s="182"/>
      <c r="B35" s="206" t="s">
        <v>185</v>
      </c>
      <c r="C35" s="154"/>
      <c r="D35" s="152"/>
      <c r="E35" s="207"/>
      <c r="F35" s="188"/>
      <c r="G35" s="238"/>
      <c r="H35" s="238"/>
      <c r="I35" s="238"/>
      <c r="J35" s="238"/>
      <c r="K35" s="238"/>
      <c r="L35" s="188"/>
      <c r="M35" s="188"/>
      <c r="N35" s="188"/>
      <c r="O35" s="188"/>
      <c r="P35" s="188"/>
      <c r="Q35" s="188"/>
      <c r="R35" s="188"/>
      <c r="S35" s="188"/>
      <c r="T35" s="189"/>
      <c r="U35" s="161"/>
      <c r="V35" s="161"/>
      <c r="W35" s="161"/>
    </row>
    <row r="36">
      <c r="A36" s="182"/>
      <c r="B36" s="183" t="s">
        <v>221</v>
      </c>
      <c r="C36" s="154"/>
      <c r="D36" s="152"/>
      <c r="E36" s="207"/>
      <c r="F36" s="188"/>
      <c r="G36" s="185" t="s">
        <v>167</v>
      </c>
      <c r="H36" s="238"/>
      <c r="I36" s="238"/>
      <c r="J36" s="238"/>
      <c r="K36" s="238"/>
      <c r="L36" s="188"/>
      <c r="M36" s="188"/>
      <c r="N36" s="188"/>
      <c r="O36" s="188"/>
      <c r="P36" s="188"/>
      <c r="Q36" s="188"/>
      <c r="R36" s="188"/>
      <c r="S36" s="188"/>
      <c r="T36" s="251"/>
      <c r="U36" s="161"/>
      <c r="V36" s="161"/>
      <c r="W36" s="161"/>
    </row>
    <row r="37">
      <c r="A37" s="182"/>
      <c r="B37" s="183" t="s">
        <v>186</v>
      </c>
      <c r="C37" s="154"/>
      <c r="D37" s="152"/>
      <c r="E37" s="207"/>
      <c r="F37" s="188"/>
      <c r="G37" s="185"/>
      <c r="H37" s="185" t="s">
        <v>167</v>
      </c>
      <c r="I37" s="185" t="s">
        <v>167</v>
      </c>
      <c r="J37" s="185" t="s">
        <v>167</v>
      </c>
      <c r="K37" s="185" t="s">
        <v>167</v>
      </c>
      <c r="L37" s="185" t="s">
        <v>167</v>
      </c>
      <c r="M37" s="185" t="s">
        <v>167</v>
      </c>
      <c r="N37" s="185"/>
      <c r="O37" s="185"/>
      <c r="P37" s="188"/>
      <c r="Q37" s="188"/>
      <c r="R37" s="188"/>
      <c r="S37" s="188"/>
      <c r="T37" s="208"/>
      <c r="U37" s="161"/>
      <c r="V37" s="161"/>
      <c r="W37" s="161"/>
    </row>
    <row r="38" ht="15.75" customHeight="1">
      <c r="A38" s="182"/>
      <c r="B38" s="206" t="s">
        <v>187</v>
      </c>
      <c r="C38" s="154"/>
      <c r="D38" s="152"/>
      <c r="E38" s="184"/>
      <c r="F38" s="209"/>
      <c r="G38" s="242"/>
      <c r="H38" s="242"/>
      <c r="I38" s="242"/>
      <c r="J38" s="242"/>
      <c r="K38" s="242"/>
      <c r="L38" s="209"/>
      <c r="M38" s="209"/>
      <c r="N38" s="209"/>
      <c r="O38" s="209"/>
      <c r="P38" s="209"/>
      <c r="Q38" s="209"/>
      <c r="R38" s="209"/>
      <c r="S38" s="209"/>
      <c r="T38" s="189"/>
      <c r="U38" s="161"/>
      <c r="V38" s="161"/>
      <c r="W38" s="161"/>
    </row>
    <row r="39" ht="15.75" customHeight="1">
      <c r="A39" s="182"/>
      <c r="B39" s="183" t="s">
        <v>222</v>
      </c>
      <c r="C39" s="154"/>
      <c r="D39" s="152"/>
      <c r="E39" s="184"/>
      <c r="F39" s="210"/>
      <c r="G39" s="211" t="s">
        <v>167</v>
      </c>
      <c r="H39" s="212"/>
      <c r="I39" s="243"/>
      <c r="J39" s="212"/>
      <c r="K39" s="243"/>
      <c r="L39" s="210"/>
      <c r="M39" s="210"/>
      <c r="N39" s="212"/>
      <c r="O39" s="211"/>
      <c r="P39" s="210"/>
      <c r="Q39" s="210"/>
      <c r="R39" s="210"/>
      <c r="S39" s="210"/>
      <c r="T39" s="189"/>
      <c r="U39" s="161"/>
      <c r="V39" s="161"/>
      <c r="W39" s="161"/>
    </row>
    <row r="40" ht="15.75" customHeight="1">
      <c r="A40" s="182"/>
      <c r="B40" s="191" t="s">
        <v>206</v>
      </c>
      <c r="C40" s="154"/>
      <c r="D40" s="152"/>
      <c r="E40" s="184"/>
      <c r="F40" s="210"/>
      <c r="G40" s="185"/>
      <c r="H40" s="185" t="s">
        <v>167</v>
      </c>
      <c r="I40" s="243"/>
      <c r="J40" s="212"/>
      <c r="K40" s="243"/>
      <c r="L40" s="210"/>
      <c r="M40" s="210"/>
      <c r="N40" s="212"/>
      <c r="O40" s="211"/>
      <c r="P40" s="210"/>
      <c r="Q40" s="210"/>
      <c r="R40" s="210"/>
      <c r="S40" s="210"/>
      <c r="T40" s="189"/>
      <c r="U40" s="161"/>
      <c r="V40" s="161"/>
      <c r="W40" s="161"/>
    </row>
    <row r="41" ht="15.75" customHeight="1">
      <c r="A41" s="182"/>
      <c r="B41" s="191" t="s">
        <v>195</v>
      </c>
      <c r="C41" s="154"/>
      <c r="D41" s="152"/>
      <c r="E41" s="249"/>
      <c r="F41" s="210"/>
      <c r="G41" s="212"/>
      <c r="H41" s="212"/>
      <c r="I41" s="185" t="s">
        <v>167</v>
      </c>
      <c r="J41" s="212"/>
      <c r="K41" s="243"/>
      <c r="L41" s="210"/>
      <c r="M41" s="210"/>
      <c r="N41" s="212"/>
      <c r="O41" s="211"/>
      <c r="P41" s="210"/>
      <c r="Q41" s="210"/>
      <c r="R41" s="210"/>
      <c r="S41" s="210"/>
      <c r="T41" s="250"/>
      <c r="U41" s="161"/>
      <c r="V41" s="161"/>
      <c r="W41" s="161"/>
    </row>
    <row r="42" ht="15.75" customHeight="1">
      <c r="A42" s="182"/>
      <c r="B42" s="190" t="s">
        <v>223</v>
      </c>
      <c r="C42" s="154"/>
      <c r="D42" s="152"/>
      <c r="E42" s="249"/>
      <c r="F42" s="210"/>
      <c r="G42" s="212"/>
      <c r="H42" s="212"/>
      <c r="I42" s="243"/>
      <c r="J42" s="185" t="s">
        <v>167</v>
      </c>
      <c r="K42" s="185" t="s">
        <v>167</v>
      </c>
      <c r="L42" s="185" t="s">
        <v>167</v>
      </c>
      <c r="M42" s="185" t="s">
        <v>167</v>
      </c>
      <c r="N42" s="212"/>
      <c r="O42" s="211"/>
      <c r="P42" s="210"/>
      <c r="Q42" s="210"/>
      <c r="R42" s="210"/>
      <c r="S42" s="210"/>
      <c r="T42" s="250"/>
      <c r="U42" s="161"/>
      <c r="V42" s="161"/>
      <c r="W42" s="161"/>
    </row>
    <row r="43" ht="15.75" customHeight="1">
      <c r="A43" s="182"/>
      <c r="B43" s="190" t="s">
        <v>224</v>
      </c>
      <c r="C43" s="154"/>
      <c r="D43" s="152"/>
      <c r="E43" s="249"/>
      <c r="F43" s="210"/>
      <c r="G43" s="212"/>
      <c r="H43" s="212"/>
      <c r="I43" s="243"/>
      <c r="J43" s="212"/>
      <c r="K43" s="243"/>
      <c r="L43" s="210"/>
      <c r="M43" s="210"/>
      <c r="N43" s="211" t="s">
        <v>167</v>
      </c>
      <c r="O43" s="211" t="s">
        <v>167</v>
      </c>
      <c r="P43" s="210"/>
      <c r="Q43" s="210"/>
      <c r="R43" s="210"/>
      <c r="S43" s="210"/>
      <c r="T43" s="250"/>
      <c r="U43" s="161"/>
      <c r="V43" s="161"/>
      <c r="W43" s="161"/>
    </row>
    <row r="44" ht="15.75" customHeight="1">
      <c r="A44" s="182"/>
      <c r="B44" s="213" t="s">
        <v>225</v>
      </c>
      <c r="C44" s="214"/>
      <c r="D44" s="215"/>
      <c r="E44" s="216"/>
      <c r="F44" s="217"/>
      <c r="G44" s="244"/>
      <c r="H44" s="244"/>
      <c r="I44" s="198"/>
      <c r="J44" s="239"/>
      <c r="K44" s="198"/>
      <c r="L44" s="217"/>
      <c r="M44" s="217"/>
      <c r="N44" s="217"/>
      <c r="O44" s="199"/>
      <c r="P44" s="199" t="s">
        <v>167</v>
      </c>
      <c r="Q44" s="218"/>
      <c r="R44" s="218"/>
      <c r="S44" s="218"/>
      <c r="T44" s="219"/>
      <c r="U44" s="161"/>
      <c r="V44" s="161"/>
      <c r="W44" s="161"/>
    </row>
    <row r="45" ht="15.75" customHeight="1">
      <c r="A45" s="220" t="s">
        <v>196</v>
      </c>
      <c r="B45" s="221" t="s">
        <v>197</v>
      </c>
      <c r="C45" s="176"/>
      <c r="D45" s="177"/>
      <c r="E45" s="178"/>
      <c r="F45" s="222" t="s">
        <v>137</v>
      </c>
      <c r="G45" s="222" t="s">
        <v>61</v>
      </c>
      <c r="H45" s="245" t="s">
        <v>61</v>
      </c>
      <c r="I45" s="222" t="s">
        <v>61</v>
      </c>
      <c r="J45" s="245" t="s">
        <v>61</v>
      </c>
      <c r="K45" s="222" t="s">
        <v>61</v>
      </c>
      <c r="L45" s="245" t="s">
        <v>61</v>
      </c>
      <c r="M45" s="222" t="s">
        <v>61</v>
      </c>
      <c r="N45" s="245" t="s">
        <v>61</v>
      </c>
      <c r="O45" s="222" t="s">
        <v>61</v>
      </c>
      <c r="P45" s="245" t="s">
        <v>61</v>
      </c>
      <c r="Q45" s="222"/>
      <c r="R45" s="222"/>
      <c r="S45" s="222"/>
      <c r="T45" s="224"/>
      <c r="U45" s="161"/>
      <c r="V45" s="161"/>
      <c r="W45" s="161"/>
    </row>
    <row r="46" ht="15.75" customHeight="1">
      <c r="A46" s="182"/>
      <c r="B46" s="221" t="s">
        <v>198</v>
      </c>
      <c r="C46" s="176"/>
      <c r="D46" s="177"/>
      <c r="E46" s="184"/>
      <c r="F46" s="225" t="s">
        <v>199</v>
      </c>
      <c r="G46" s="225" t="s">
        <v>199</v>
      </c>
      <c r="H46" s="225" t="s">
        <v>199</v>
      </c>
      <c r="I46" s="225" t="s">
        <v>199</v>
      </c>
      <c r="J46" s="225" t="s">
        <v>199</v>
      </c>
      <c r="K46" s="225" t="s">
        <v>199</v>
      </c>
      <c r="L46" s="225" t="s">
        <v>199</v>
      </c>
      <c r="M46" s="225" t="s">
        <v>199</v>
      </c>
      <c r="N46" s="225" t="s">
        <v>199</v>
      </c>
      <c r="O46" s="225" t="s">
        <v>199</v>
      </c>
      <c r="P46" s="225" t="s">
        <v>199</v>
      </c>
      <c r="Q46" s="225"/>
      <c r="R46" s="225"/>
      <c r="S46" s="225"/>
      <c r="T46" s="226"/>
      <c r="U46" s="161"/>
      <c r="V46" s="161"/>
      <c r="W46" s="161"/>
    </row>
    <row r="47" ht="15.75" customHeight="1">
      <c r="A47" s="182"/>
      <c r="B47" s="221" t="s">
        <v>200</v>
      </c>
      <c r="C47" s="176"/>
      <c r="D47" s="177"/>
      <c r="E47" s="184"/>
      <c r="F47" s="227">
        <v>45964.0</v>
      </c>
      <c r="G47" s="227">
        <v>45964.0</v>
      </c>
      <c r="H47" s="227">
        <v>45964.0</v>
      </c>
      <c r="I47" s="227">
        <v>45964.0</v>
      </c>
      <c r="J47" s="227">
        <v>45964.0</v>
      </c>
      <c r="K47" s="227">
        <v>45964.0</v>
      </c>
      <c r="L47" s="227">
        <v>45964.0</v>
      </c>
      <c r="M47" s="227">
        <v>45964.0</v>
      </c>
      <c r="N47" s="227">
        <v>45964.0</v>
      </c>
      <c r="O47" s="227">
        <v>45964.0</v>
      </c>
      <c r="P47" s="227">
        <v>45964.0</v>
      </c>
      <c r="Q47" s="228"/>
      <c r="R47" s="228"/>
      <c r="S47" s="228"/>
      <c r="T47" s="229"/>
      <c r="U47" s="161"/>
      <c r="V47" s="161"/>
      <c r="W47" s="161"/>
    </row>
    <row r="48" ht="15.75" customHeight="1">
      <c r="A48" s="182"/>
      <c r="B48" s="230" t="s">
        <v>201</v>
      </c>
      <c r="C48" s="231"/>
      <c r="D48" s="232"/>
      <c r="E48" s="233"/>
      <c r="F48" s="217"/>
      <c r="G48" s="217"/>
      <c r="H48" s="217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5"/>
      <c r="T48" s="236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>
      <c r="A240" s="161"/>
      <c r="B240" s="161"/>
      <c r="C240" s="161"/>
      <c r="D240" s="161"/>
      <c r="E240" s="169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 ht="15.75" customHeight="1">
      <c r="A241" s="161"/>
      <c r="B241" s="161"/>
      <c r="C241" s="161"/>
      <c r="D241" s="161"/>
      <c r="E241" s="169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 ht="15.75" customHeight="1">
      <c r="A242" s="161"/>
      <c r="B242" s="161"/>
      <c r="C242" s="161"/>
      <c r="D242" s="161"/>
      <c r="E242" s="169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 ht="15.75" customHeight="1">
      <c r="A243" s="161"/>
      <c r="B243" s="161"/>
      <c r="C243" s="161"/>
      <c r="D243" s="161"/>
      <c r="E243" s="169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</row>
    <row r="244" ht="15.75" customHeight="1">
      <c r="A244" s="161"/>
      <c r="B244" s="161"/>
      <c r="C244" s="161"/>
      <c r="D244" s="161"/>
      <c r="E244" s="169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</row>
    <row r="245" ht="15.75" customHeight="1">
      <c r="A245" s="161"/>
      <c r="B245" s="161"/>
      <c r="C245" s="161"/>
      <c r="D245" s="161"/>
      <c r="E245" s="169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</row>
    <row r="246" ht="15.75" customHeight="1">
      <c r="A246" s="161"/>
      <c r="B246" s="161"/>
      <c r="C246" s="161"/>
      <c r="D246" s="161"/>
      <c r="E246" s="169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</row>
    <row r="247" ht="15.75" customHeight="1">
      <c r="A247" s="161"/>
      <c r="B247" s="161"/>
      <c r="C247" s="161"/>
      <c r="D247" s="161"/>
      <c r="E247" s="169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</row>
    <row r="248" ht="15.75" customHeight="1">
      <c r="A248" s="161"/>
      <c r="B248" s="161"/>
      <c r="C248" s="161"/>
      <c r="D248" s="161"/>
      <c r="E248" s="169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60">
    <mergeCell ref="B46:D46"/>
    <mergeCell ref="B47:D47"/>
    <mergeCell ref="B48:D48"/>
    <mergeCell ref="B39:D39"/>
    <mergeCell ref="B40:D40"/>
    <mergeCell ref="B41:D41"/>
    <mergeCell ref="B42:D42"/>
    <mergeCell ref="B43:D43"/>
    <mergeCell ref="B44:D44"/>
    <mergeCell ref="B45:D45"/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dataValidations>
    <dataValidation type="list" allowBlank="1" showInputMessage="1" showErrorMessage="1" prompt="Click and enter a value from the list of items" sqref="F46:T46">
      <formula1>"P,F"</formula1>
    </dataValidation>
    <dataValidation type="list" allowBlank="1" showInputMessage="1" showErrorMessage="1" prompt=" - " sqref="F8:T44">
      <formula1>"O"</formula1>
    </dataValidation>
    <dataValidation type="list" allowBlank="1" showInputMessage="1" showErrorMessage="1" prompt="Click and enter a value from the list of items" sqref="F45:T45">
      <formula1>"A,B,N"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83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COUNTIF(F46:HT46,"P")</f>
        <v>11</v>
      </c>
      <c r="B5" s="165"/>
      <c r="C5" s="164">
        <f>COUNTIF(H46:HV46,"F")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COUNTIF(E45:HT45,"N")</f>
        <v>1</v>
      </c>
      <c r="M5" s="168">
        <f>COUNTIF(F45:HU45,"A")</f>
        <v>10</v>
      </c>
      <c r="N5" s="168">
        <f>COUNTIF(G45:HV45,"B")</f>
        <v>0</v>
      </c>
      <c r="O5" s="167">
        <f>COUNTA(F7:HW7)</f>
        <v>11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 t="s">
        <v>160</v>
      </c>
      <c r="N7" s="171" t="s">
        <v>161</v>
      </c>
      <c r="O7" s="171" t="s">
        <v>162</v>
      </c>
      <c r="P7" s="171" t="s">
        <v>163</v>
      </c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 t="s">
        <v>167</v>
      </c>
      <c r="N9" s="185" t="s">
        <v>167</v>
      </c>
      <c r="O9" s="185" t="s">
        <v>167</v>
      </c>
      <c r="P9" s="185" t="s">
        <v>167</v>
      </c>
      <c r="Q9" s="185"/>
      <c r="R9" s="185"/>
      <c r="S9" s="185"/>
      <c r="T9" s="186"/>
      <c r="U9" s="161"/>
      <c r="V9" s="161"/>
      <c r="W9" s="161"/>
    </row>
    <row r="10">
      <c r="A10" s="182"/>
      <c r="B10" s="248" t="s">
        <v>207</v>
      </c>
      <c r="C10" s="176"/>
      <c r="D10" s="177"/>
      <c r="E10" s="184"/>
      <c r="F10" s="185"/>
      <c r="G10" s="185"/>
      <c r="H10" s="185"/>
      <c r="I10" s="238"/>
      <c r="J10" s="185"/>
      <c r="K10" s="238"/>
      <c r="L10" s="185"/>
      <c r="M10" s="185"/>
      <c r="N10" s="185"/>
      <c r="O10" s="185"/>
      <c r="P10" s="185"/>
      <c r="Q10" s="185"/>
      <c r="R10" s="185"/>
      <c r="S10" s="185"/>
      <c r="T10" s="186"/>
      <c r="U10" s="161"/>
      <c r="V10" s="161"/>
      <c r="W10" s="161"/>
    </row>
    <row r="11">
      <c r="A11" s="182"/>
      <c r="B11" s="190" t="s">
        <v>208</v>
      </c>
      <c r="C11" s="154"/>
      <c r="D11" s="152"/>
      <c r="E11" s="184"/>
      <c r="F11" s="185" t="s">
        <v>167</v>
      </c>
      <c r="G11" s="185"/>
      <c r="H11" s="185" t="s">
        <v>167</v>
      </c>
      <c r="I11" s="185" t="s">
        <v>167</v>
      </c>
      <c r="J11" s="185" t="s">
        <v>167</v>
      </c>
      <c r="K11" s="185" t="s">
        <v>167</v>
      </c>
      <c r="L11" s="185" t="s">
        <v>167</v>
      </c>
      <c r="M11" s="185" t="s">
        <v>167</v>
      </c>
      <c r="N11" s="185" t="s">
        <v>167</v>
      </c>
      <c r="O11" s="185" t="s">
        <v>167</v>
      </c>
      <c r="P11" s="185" t="s">
        <v>167</v>
      </c>
      <c r="Q11" s="185"/>
      <c r="R11" s="185"/>
      <c r="S11" s="185"/>
      <c r="T11" s="186"/>
      <c r="U11" s="161"/>
      <c r="V11" s="161"/>
      <c r="W11" s="161"/>
    </row>
    <row r="12">
      <c r="A12" s="182"/>
      <c r="B12" s="190" t="s">
        <v>209</v>
      </c>
      <c r="C12" s="154"/>
      <c r="D12" s="152"/>
      <c r="E12" s="184"/>
      <c r="F12" s="185"/>
      <c r="G12" s="185" t="s">
        <v>167</v>
      </c>
      <c r="H12" s="185"/>
      <c r="I12" s="238"/>
      <c r="J12" s="185"/>
      <c r="K12" s="238"/>
      <c r="L12" s="185"/>
      <c r="M12" s="185"/>
      <c r="N12" s="185"/>
      <c r="O12" s="185"/>
      <c r="P12" s="185"/>
      <c r="Q12" s="185"/>
      <c r="R12" s="185"/>
      <c r="S12" s="185"/>
      <c r="T12" s="186"/>
      <c r="U12" s="161"/>
      <c r="V12" s="161"/>
      <c r="W12" s="161"/>
    </row>
    <row r="13">
      <c r="A13" s="182"/>
      <c r="B13" s="187" t="s">
        <v>203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90" t="s">
        <v>204</v>
      </c>
      <c r="C14" s="154"/>
      <c r="D14" s="152"/>
      <c r="E14" s="184"/>
      <c r="F14" s="185" t="s">
        <v>167</v>
      </c>
      <c r="G14" s="185" t="s">
        <v>167</v>
      </c>
      <c r="H14" s="238"/>
      <c r="I14" s="185" t="s">
        <v>167</v>
      </c>
      <c r="J14" s="185" t="s">
        <v>167</v>
      </c>
      <c r="K14" s="185" t="s">
        <v>167</v>
      </c>
      <c r="L14" s="185" t="s">
        <v>167</v>
      </c>
      <c r="M14" s="185" t="s">
        <v>167</v>
      </c>
      <c r="N14" s="185" t="s">
        <v>167</v>
      </c>
      <c r="O14" s="185" t="s">
        <v>167</v>
      </c>
      <c r="P14" s="185" t="s">
        <v>167</v>
      </c>
      <c r="Q14" s="188"/>
      <c r="R14" s="188"/>
      <c r="S14" s="188"/>
      <c r="T14" s="189"/>
      <c r="U14" s="161"/>
      <c r="V14" s="161"/>
      <c r="W14" s="161"/>
    </row>
    <row r="15">
      <c r="A15" s="182"/>
      <c r="B15" s="190" t="s">
        <v>205</v>
      </c>
      <c r="C15" s="154"/>
      <c r="D15" s="152"/>
      <c r="E15" s="184"/>
      <c r="F15" s="188"/>
      <c r="G15" s="185"/>
      <c r="H15" s="185" t="s">
        <v>167</v>
      </c>
      <c r="I15" s="238"/>
      <c r="J15" s="238"/>
      <c r="K15" s="238"/>
      <c r="L15" s="185"/>
      <c r="M15" s="188"/>
      <c r="N15" s="188"/>
      <c r="O15" s="188"/>
      <c r="P15" s="188"/>
      <c r="Q15" s="188"/>
      <c r="R15" s="188"/>
      <c r="S15" s="188"/>
      <c r="T15" s="189"/>
      <c r="U15" s="161"/>
      <c r="V15" s="161"/>
      <c r="W15" s="161"/>
    </row>
    <row r="16">
      <c r="A16" s="182"/>
      <c r="B16" s="187" t="s">
        <v>180</v>
      </c>
      <c r="C16" s="154"/>
      <c r="D16" s="152"/>
      <c r="E16" s="184"/>
      <c r="F16" s="188"/>
      <c r="G16" s="238"/>
      <c r="H16" s="238"/>
      <c r="I16" s="238"/>
      <c r="J16" s="238"/>
      <c r="K16" s="23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181</v>
      </c>
      <c r="C17" s="154"/>
      <c r="D17" s="152"/>
      <c r="E17" s="184"/>
      <c r="F17" s="185" t="s">
        <v>167</v>
      </c>
      <c r="G17" s="185" t="s">
        <v>167</v>
      </c>
      <c r="H17" s="185" t="s">
        <v>167</v>
      </c>
      <c r="I17" s="238"/>
      <c r="J17" s="185" t="s">
        <v>167</v>
      </c>
      <c r="K17" s="185" t="s">
        <v>167</v>
      </c>
      <c r="L17" s="185" t="s">
        <v>167</v>
      </c>
      <c r="M17" s="185" t="s">
        <v>167</v>
      </c>
      <c r="N17" s="185" t="s">
        <v>167</v>
      </c>
      <c r="O17" s="185" t="s">
        <v>167</v>
      </c>
      <c r="P17" s="185" t="s">
        <v>167</v>
      </c>
      <c r="Q17" s="188"/>
      <c r="R17" s="188"/>
      <c r="S17" s="188"/>
      <c r="T17" s="189"/>
      <c r="U17" s="161"/>
      <c r="V17" s="161"/>
      <c r="W17" s="161"/>
    </row>
    <row r="18">
      <c r="A18" s="182"/>
      <c r="B18" s="190" t="s">
        <v>182</v>
      </c>
      <c r="C18" s="154"/>
      <c r="D18" s="152"/>
      <c r="E18" s="249"/>
      <c r="F18" s="212"/>
      <c r="G18" s="212"/>
      <c r="H18" s="212"/>
      <c r="I18" s="185" t="s">
        <v>167</v>
      </c>
      <c r="J18" s="212"/>
      <c r="K18" s="243"/>
      <c r="L18" s="212"/>
      <c r="M18" s="212"/>
      <c r="N18" s="212"/>
      <c r="O18" s="212"/>
      <c r="P18" s="210"/>
      <c r="Q18" s="210"/>
      <c r="R18" s="210"/>
      <c r="S18" s="210"/>
      <c r="T18" s="250"/>
      <c r="U18" s="161"/>
      <c r="V18" s="161"/>
      <c r="W18" s="161"/>
    </row>
    <row r="19">
      <c r="A19" s="182"/>
      <c r="B19" s="187" t="s">
        <v>210</v>
      </c>
      <c r="C19" s="154"/>
      <c r="D19" s="152"/>
      <c r="E19" s="249"/>
      <c r="F19" s="212"/>
      <c r="G19" s="212"/>
      <c r="H19" s="212"/>
      <c r="I19" s="243"/>
      <c r="J19" s="212"/>
      <c r="K19" s="243"/>
      <c r="L19" s="212"/>
      <c r="M19" s="212"/>
      <c r="N19" s="212"/>
      <c r="O19" s="212"/>
      <c r="P19" s="210"/>
      <c r="Q19" s="210"/>
      <c r="R19" s="210"/>
      <c r="S19" s="210"/>
      <c r="T19" s="250"/>
      <c r="U19" s="161"/>
      <c r="V19" s="161"/>
      <c r="W19" s="161"/>
    </row>
    <row r="20">
      <c r="A20" s="182"/>
      <c r="B20" s="190" t="s">
        <v>211</v>
      </c>
      <c r="C20" s="154"/>
      <c r="D20" s="152"/>
      <c r="E20" s="249"/>
      <c r="F20" s="185" t="s">
        <v>167</v>
      </c>
      <c r="G20" s="185" t="s">
        <v>167</v>
      </c>
      <c r="H20" s="185" t="s">
        <v>167</v>
      </c>
      <c r="I20" s="185" t="s">
        <v>167</v>
      </c>
      <c r="J20" s="212"/>
      <c r="K20" s="243"/>
      <c r="L20" s="212"/>
      <c r="M20" s="212"/>
      <c r="N20" s="185" t="s">
        <v>167</v>
      </c>
      <c r="O20" s="185" t="s">
        <v>167</v>
      </c>
      <c r="P20" s="185" t="s">
        <v>167</v>
      </c>
      <c r="Q20" s="210"/>
      <c r="R20" s="210"/>
      <c r="S20" s="210"/>
      <c r="T20" s="250"/>
      <c r="U20" s="161"/>
      <c r="V20" s="161"/>
      <c r="W20" s="161"/>
    </row>
    <row r="21">
      <c r="A21" s="182"/>
      <c r="B21" s="190" t="s">
        <v>170</v>
      </c>
      <c r="C21" s="154"/>
      <c r="D21" s="152"/>
      <c r="E21" s="249"/>
      <c r="F21" s="212"/>
      <c r="G21" s="212"/>
      <c r="H21" s="212"/>
      <c r="I21" s="243"/>
      <c r="J21" s="185" t="s">
        <v>167</v>
      </c>
      <c r="K21" s="243"/>
      <c r="L21" s="212"/>
      <c r="M21" s="212"/>
      <c r="N21" s="212"/>
      <c r="O21" s="212"/>
      <c r="P21" s="210"/>
      <c r="Q21" s="210"/>
      <c r="R21" s="210"/>
      <c r="S21" s="210"/>
      <c r="T21" s="250"/>
      <c r="U21" s="161"/>
      <c r="V21" s="161"/>
      <c r="W21" s="161"/>
    </row>
    <row r="22">
      <c r="A22" s="182"/>
      <c r="B22" s="190" t="s">
        <v>212</v>
      </c>
      <c r="C22" s="154"/>
      <c r="D22" s="152"/>
      <c r="E22" s="249"/>
      <c r="F22" s="212"/>
      <c r="G22" s="212"/>
      <c r="H22" s="212"/>
      <c r="I22" s="243"/>
      <c r="J22" s="212"/>
      <c r="K22" s="185" t="s">
        <v>167</v>
      </c>
      <c r="L22" s="212"/>
      <c r="M22" s="212"/>
      <c r="N22" s="212"/>
      <c r="O22" s="212"/>
      <c r="P22" s="210"/>
      <c r="Q22" s="210"/>
      <c r="R22" s="210"/>
      <c r="S22" s="210"/>
      <c r="T22" s="250"/>
      <c r="U22" s="161"/>
      <c r="V22" s="161"/>
      <c r="W22" s="161"/>
    </row>
    <row r="23">
      <c r="A23" s="182"/>
      <c r="B23" s="190" t="s">
        <v>213</v>
      </c>
      <c r="C23" s="154"/>
      <c r="D23" s="152"/>
      <c r="E23" s="249"/>
      <c r="F23" s="212"/>
      <c r="G23" s="212"/>
      <c r="H23" s="212"/>
      <c r="I23" s="243"/>
      <c r="J23" s="212"/>
      <c r="K23" s="243"/>
      <c r="L23" s="185" t="s">
        <v>167</v>
      </c>
      <c r="M23" s="212"/>
      <c r="N23" s="212"/>
      <c r="O23" s="212"/>
      <c r="P23" s="210"/>
      <c r="Q23" s="210"/>
      <c r="R23" s="210"/>
      <c r="S23" s="210"/>
      <c r="T23" s="250"/>
      <c r="U23" s="161"/>
      <c r="V23" s="161"/>
      <c r="W23" s="161"/>
    </row>
    <row r="24">
      <c r="A24" s="182"/>
      <c r="B24" s="190" t="s">
        <v>214</v>
      </c>
      <c r="C24" s="154"/>
      <c r="D24" s="152"/>
      <c r="E24" s="249"/>
      <c r="F24" s="212"/>
      <c r="G24" s="212"/>
      <c r="H24" s="212"/>
      <c r="I24" s="243"/>
      <c r="J24" s="212"/>
      <c r="K24" s="243"/>
      <c r="L24" s="212"/>
      <c r="M24" s="185" t="s">
        <v>167</v>
      </c>
      <c r="N24" s="212"/>
      <c r="O24" s="212"/>
      <c r="P24" s="210"/>
      <c r="Q24" s="210"/>
      <c r="R24" s="210"/>
      <c r="S24" s="210"/>
      <c r="T24" s="250"/>
      <c r="U24" s="161"/>
      <c r="V24" s="161"/>
      <c r="W24" s="161"/>
    </row>
    <row r="25">
      <c r="A25" s="182"/>
      <c r="B25" s="187" t="s">
        <v>215</v>
      </c>
      <c r="C25" s="154"/>
      <c r="D25" s="152"/>
      <c r="E25" s="249"/>
      <c r="F25" s="212"/>
      <c r="G25" s="212"/>
      <c r="H25" s="212"/>
      <c r="I25" s="243"/>
      <c r="J25" s="212"/>
      <c r="K25" s="243"/>
      <c r="L25" s="212"/>
      <c r="M25" s="212"/>
      <c r="N25" s="212"/>
      <c r="O25" s="212"/>
      <c r="P25" s="210"/>
      <c r="Q25" s="210"/>
      <c r="R25" s="210"/>
      <c r="S25" s="210"/>
      <c r="T25" s="250"/>
      <c r="U25" s="161"/>
      <c r="V25" s="161"/>
      <c r="W25" s="161"/>
    </row>
    <row r="26">
      <c r="A26" s="182"/>
      <c r="B26" s="190" t="s">
        <v>216</v>
      </c>
      <c r="C26" s="154"/>
      <c r="D26" s="152"/>
      <c r="E26" s="249"/>
      <c r="F26" s="185" t="s">
        <v>167</v>
      </c>
      <c r="G26" s="185" t="s">
        <v>167</v>
      </c>
      <c r="H26" s="185" t="s">
        <v>167</v>
      </c>
      <c r="I26" s="185" t="s">
        <v>167</v>
      </c>
      <c r="J26" s="185" t="s">
        <v>167</v>
      </c>
      <c r="K26" s="185" t="s">
        <v>167</v>
      </c>
      <c r="L26" s="185" t="s">
        <v>167</v>
      </c>
      <c r="M26" s="185" t="s">
        <v>167</v>
      </c>
      <c r="N26" s="212"/>
      <c r="O26" s="212"/>
      <c r="P26" s="210"/>
      <c r="Q26" s="210"/>
      <c r="R26" s="210"/>
      <c r="S26" s="210"/>
      <c r="T26" s="250"/>
      <c r="U26" s="161"/>
      <c r="V26" s="161"/>
      <c r="W26" s="161"/>
    </row>
    <row r="27">
      <c r="A27" s="182"/>
      <c r="B27" s="190" t="s">
        <v>170</v>
      </c>
      <c r="C27" s="154"/>
      <c r="D27" s="152"/>
      <c r="E27" s="249"/>
      <c r="F27" s="212"/>
      <c r="G27" s="212"/>
      <c r="H27" s="212"/>
      <c r="I27" s="243"/>
      <c r="J27" s="212"/>
      <c r="K27" s="243"/>
      <c r="L27" s="212"/>
      <c r="M27" s="212"/>
      <c r="N27" s="211" t="s">
        <v>167</v>
      </c>
      <c r="O27" s="212"/>
      <c r="P27" s="210"/>
      <c r="Q27" s="210"/>
      <c r="R27" s="210"/>
      <c r="S27" s="210"/>
      <c r="T27" s="250"/>
      <c r="U27" s="161"/>
      <c r="V27" s="161"/>
      <c r="W27" s="161"/>
    </row>
    <row r="28">
      <c r="A28" s="182"/>
      <c r="B28" s="190" t="s">
        <v>217</v>
      </c>
      <c r="C28" s="154"/>
      <c r="D28" s="152"/>
      <c r="E28" s="249"/>
      <c r="F28" s="212"/>
      <c r="G28" s="212"/>
      <c r="H28" s="212"/>
      <c r="I28" s="243"/>
      <c r="J28" s="212"/>
      <c r="K28" s="243"/>
      <c r="L28" s="212"/>
      <c r="M28" s="212"/>
      <c r="N28" s="212"/>
      <c r="O28" s="211" t="s">
        <v>167</v>
      </c>
      <c r="P28" s="210"/>
      <c r="Q28" s="210"/>
      <c r="R28" s="210"/>
      <c r="S28" s="210"/>
      <c r="T28" s="250"/>
      <c r="U28" s="161"/>
      <c r="V28" s="161"/>
      <c r="W28" s="161"/>
    </row>
    <row r="29">
      <c r="A29" s="182"/>
      <c r="B29" s="190" t="s">
        <v>218</v>
      </c>
      <c r="C29" s="154"/>
      <c r="D29" s="152"/>
      <c r="E29" s="249"/>
      <c r="F29" s="212"/>
      <c r="G29" s="212"/>
      <c r="H29" s="212"/>
      <c r="I29" s="243"/>
      <c r="J29" s="212"/>
      <c r="K29" s="243"/>
      <c r="L29" s="212"/>
      <c r="M29" s="212"/>
      <c r="N29" s="212"/>
      <c r="O29" s="212"/>
      <c r="P29" s="185" t="s">
        <v>167</v>
      </c>
      <c r="Q29" s="210"/>
      <c r="R29" s="210"/>
      <c r="S29" s="210"/>
      <c r="T29" s="250"/>
      <c r="U29" s="161"/>
      <c r="V29" s="161"/>
      <c r="W29" s="161"/>
    </row>
    <row r="30">
      <c r="A30" s="182"/>
      <c r="B30" s="187" t="s">
        <v>219</v>
      </c>
      <c r="C30" s="154"/>
      <c r="D30" s="152"/>
      <c r="E30" s="249"/>
      <c r="F30" s="212"/>
      <c r="G30" s="212"/>
      <c r="H30" s="212"/>
      <c r="I30" s="243"/>
      <c r="J30" s="212"/>
      <c r="K30" s="243"/>
      <c r="L30" s="212"/>
      <c r="M30" s="212"/>
      <c r="N30" s="212"/>
      <c r="O30" s="212"/>
      <c r="P30" s="210"/>
      <c r="Q30" s="210"/>
      <c r="R30" s="210"/>
      <c r="S30" s="210"/>
      <c r="T30" s="250"/>
      <c r="U30" s="161"/>
      <c r="V30" s="161"/>
      <c r="W30" s="161"/>
    </row>
    <row r="31">
      <c r="A31" s="192"/>
      <c r="B31" s="247" t="s">
        <v>220</v>
      </c>
      <c r="C31" s="194"/>
      <c r="D31" s="195"/>
      <c r="E31" s="196"/>
      <c r="F31" s="198" t="s">
        <v>167</v>
      </c>
      <c r="G31" s="198" t="s">
        <v>167</v>
      </c>
      <c r="H31" s="199" t="s">
        <v>167</v>
      </c>
      <c r="I31" s="199" t="s">
        <v>167</v>
      </c>
      <c r="J31" s="199" t="s">
        <v>167</v>
      </c>
      <c r="K31" s="199" t="s">
        <v>167</v>
      </c>
      <c r="L31" s="199" t="s">
        <v>167</v>
      </c>
      <c r="M31" s="199" t="s">
        <v>167</v>
      </c>
      <c r="N31" s="199" t="s">
        <v>167</v>
      </c>
      <c r="O31" s="199" t="s">
        <v>167</v>
      </c>
      <c r="P31" s="199" t="s">
        <v>167</v>
      </c>
      <c r="Q31" s="197"/>
      <c r="R31" s="197"/>
      <c r="S31" s="197"/>
      <c r="T31" s="200"/>
      <c r="U31" s="161"/>
      <c r="V31" s="161"/>
      <c r="W31" s="161"/>
    </row>
    <row r="32">
      <c r="A32" s="174" t="s">
        <v>183</v>
      </c>
      <c r="B32" s="201" t="s">
        <v>184</v>
      </c>
      <c r="D32" s="202"/>
      <c r="E32" s="203"/>
      <c r="F32" s="179"/>
      <c r="G32" s="240"/>
      <c r="H32" s="240"/>
      <c r="I32" s="240"/>
      <c r="J32" s="240"/>
      <c r="K32" s="240"/>
      <c r="L32" s="179"/>
      <c r="M32" s="179"/>
      <c r="N32" s="179"/>
      <c r="O32" s="179"/>
      <c r="P32" s="179"/>
      <c r="Q32" s="179"/>
      <c r="R32" s="179"/>
      <c r="S32" s="179"/>
      <c r="T32" s="181"/>
      <c r="U32" s="161"/>
      <c r="V32" s="161"/>
      <c r="W32" s="161"/>
    </row>
    <row r="33">
      <c r="A33" s="182"/>
      <c r="B33" s="204" t="b">
        <v>1</v>
      </c>
      <c r="C33" s="154"/>
      <c r="D33" s="152"/>
      <c r="E33" s="184"/>
      <c r="F33" s="185" t="s">
        <v>167</v>
      </c>
      <c r="G33" s="238"/>
      <c r="H33" s="238"/>
      <c r="I33" s="238"/>
      <c r="J33" s="238"/>
      <c r="K33" s="238"/>
      <c r="L33" s="188"/>
      <c r="M33" s="188"/>
      <c r="N33" s="188"/>
      <c r="O33" s="188"/>
      <c r="P33" s="188"/>
      <c r="Q33" s="188"/>
      <c r="R33" s="188"/>
      <c r="S33" s="188"/>
      <c r="T33" s="189"/>
      <c r="U33" s="161"/>
      <c r="V33" s="161"/>
      <c r="W33" s="161"/>
    </row>
    <row r="34">
      <c r="A34" s="182"/>
      <c r="B34" s="204" t="b">
        <v>0</v>
      </c>
      <c r="C34" s="154"/>
      <c r="D34" s="152"/>
      <c r="E34" s="184"/>
      <c r="F34" s="188"/>
      <c r="G34" s="238"/>
      <c r="H34" s="241"/>
      <c r="I34" s="241"/>
      <c r="J34" s="241"/>
      <c r="K34" s="241"/>
      <c r="L34" s="185"/>
      <c r="M34" s="185"/>
      <c r="N34" s="188"/>
      <c r="O34" s="188"/>
      <c r="P34" s="185"/>
      <c r="Q34" s="185"/>
      <c r="R34" s="185"/>
      <c r="S34" s="185"/>
      <c r="T34" s="186"/>
      <c r="U34" s="161"/>
      <c r="V34" s="161"/>
      <c r="W34" s="161"/>
    </row>
    <row r="35">
      <c r="A35" s="182"/>
      <c r="B35" s="206" t="s">
        <v>185</v>
      </c>
      <c r="C35" s="154"/>
      <c r="D35" s="152"/>
      <c r="E35" s="207"/>
      <c r="F35" s="188"/>
      <c r="G35" s="238"/>
      <c r="H35" s="238"/>
      <c r="I35" s="238"/>
      <c r="J35" s="238"/>
      <c r="K35" s="238"/>
      <c r="L35" s="188"/>
      <c r="M35" s="188"/>
      <c r="N35" s="188"/>
      <c r="O35" s="188"/>
      <c r="P35" s="188"/>
      <c r="Q35" s="188"/>
      <c r="R35" s="188"/>
      <c r="S35" s="188"/>
      <c r="T35" s="189"/>
      <c r="U35" s="161"/>
      <c r="V35" s="161"/>
      <c r="W35" s="161"/>
    </row>
    <row r="36">
      <c r="A36" s="182"/>
      <c r="B36" s="183" t="s">
        <v>221</v>
      </c>
      <c r="C36" s="154"/>
      <c r="D36" s="152"/>
      <c r="E36" s="207"/>
      <c r="F36" s="188"/>
      <c r="G36" s="185" t="s">
        <v>167</v>
      </c>
      <c r="H36" s="238"/>
      <c r="I36" s="238"/>
      <c r="J36" s="238"/>
      <c r="K36" s="238"/>
      <c r="L36" s="188"/>
      <c r="M36" s="188"/>
      <c r="N36" s="188"/>
      <c r="O36" s="188"/>
      <c r="P36" s="188"/>
      <c r="Q36" s="188"/>
      <c r="R36" s="188"/>
      <c r="S36" s="188"/>
      <c r="T36" s="251"/>
      <c r="U36" s="161"/>
      <c r="V36" s="161"/>
      <c r="W36" s="161"/>
    </row>
    <row r="37">
      <c r="A37" s="182"/>
      <c r="B37" s="183" t="s">
        <v>186</v>
      </c>
      <c r="C37" s="154"/>
      <c r="D37" s="152"/>
      <c r="E37" s="207"/>
      <c r="F37" s="188"/>
      <c r="G37" s="185"/>
      <c r="H37" s="185" t="s">
        <v>167</v>
      </c>
      <c r="I37" s="185" t="s">
        <v>167</v>
      </c>
      <c r="J37" s="185" t="s">
        <v>167</v>
      </c>
      <c r="K37" s="185" t="s">
        <v>167</v>
      </c>
      <c r="L37" s="185" t="s">
        <v>167</v>
      </c>
      <c r="M37" s="185" t="s">
        <v>167</v>
      </c>
      <c r="N37" s="185"/>
      <c r="O37" s="185"/>
      <c r="P37" s="188"/>
      <c r="Q37" s="188"/>
      <c r="R37" s="188"/>
      <c r="S37" s="188"/>
      <c r="T37" s="208"/>
      <c r="U37" s="161"/>
      <c r="V37" s="161"/>
      <c r="W37" s="161"/>
    </row>
    <row r="38" ht="15.75" customHeight="1">
      <c r="A38" s="182"/>
      <c r="B38" s="206" t="s">
        <v>187</v>
      </c>
      <c r="C38" s="154"/>
      <c r="D38" s="152"/>
      <c r="E38" s="184"/>
      <c r="F38" s="209"/>
      <c r="G38" s="242"/>
      <c r="H38" s="242"/>
      <c r="I38" s="242"/>
      <c r="J38" s="242"/>
      <c r="K38" s="242"/>
      <c r="L38" s="209"/>
      <c r="M38" s="209"/>
      <c r="N38" s="209"/>
      <c r="O38" s="209"/>
      <c r="P38" s="209"/>
      <c r="Q38" s="209"/>
      <c r="R38" s="209"/>
      <c r="S38" s="209"/>
      <c r="T38" s="189"/>
      <c r="U38" s="161"/>
      <c r="V38" s="161"/>
      <c r="W38" s="161"/>
    </row>
    <row r="39" ht="15.75" customHeight="1">
      <c r="A39" s="182"/>
      <c r="B39" s="183" t="s">
        <v>222</v>
      </c>
      <c r="C39" s="154"/>
      <c r="D39" s="152"/>
      <c r="E39" s="184"/>
      <c r="F39" s="210"/>
      <c r="G39" s="211" t="s">
        <v>167</v>
      </c>
      <c r="H39" s="212"/>
      <c r="I39" s="243"/>
      <c r="J39" s="212"/>
      <c r="K39" s="243"/>
      <c r="L39" s="210"/>
      <c r="M39" s="210"/>
      <c r="N39" s="212"/>
      <c r="O39" s="211"/>
      <c r="P39" s="210"/>
      <c r="Q39" s="210"/>
      <c r="R39" s="210"/>
      <c r="S39" s="210"/>
      <c r="T39" s="189"/>
      <c r="U39" s="161"/>
      <c r="V39" s="161"/>
      <c r="W39" s="161"/>
    </row>
    <row r="40" ht="15.75" customHeight="1">
      <c r="A40" s="182"/>
      <c r="B40" s="191" t="s">
        <v>206</v>
      </c>
      <c r="C40" s="154"/>
      <c r="D40" s="152"/>
      <c r="E40" s="184"/>
      <c r="F40" s="210"/>
      <c r="G40" s="185"/>
      <c r="H40" s="185" t="s">
        <v>167</v>
      </c>
      <c r="I40" s="243"/>
      <c r="J40" s="212"/>
      <c r="K40" s="243"/>
      <c r="L40" s="210"/>
      <c r="M40" s="210"/>
      <c r="N40" s="212"/>
      <c r="O40" s="211"/>
      <c r="P40" s="210"/>
      <c r="Q40" s="210"/>
      <c r="R40" s="210"/>
      <c r="S40" s="210"/>
      <c r="T40" s="189"/>
      <c r="U40" s="161"/>
      <c r="V40" s="161"/>
      <c r="W40" s="161"/>
    </row>
    <row r="41" ht="15.75" customHeight="1">
      <c r="A41" s="182"/>
      <c r="B41" s="191" t="s">
        <v>195</v>
      </c>
      <c r="C41" s="154"/>
      <c r="D41" s="152"/>
      <c r="E41" s="249"/>
      <c r="F41" s="210"/>
      <c r="G41" s="212"/>
      <c r="H41" s="212"/>
      <c r="I41" s="185" t="s">
        <v>167</v>
      </c>
      <c r="J41" s="212"/>
      <c r="K41" s="243"/>
      <c r="L41" s="210"/>
      <c r="M41" s="210"/>
      <c r="N41" s="212"/>
      <c r="O41" s="211"/>
      <c r="P41" s="210"/>
      <c r="Q41" s="210"/>
      <c r="R41" s="210"/>
      <c r="S41" s="210"/>
      <c r="T41" s="250"/>
      <c r="U41" s="161"/>
      <c r="V41" s="161"/>
      <c r="W41" s="161"/>
    </row>
    <row r="42" ht="15.75" customHeight="1">
      <c r="A42" s="182"/>
      <c r="B42" s="190" t="s">
        <v>223</v>
      </c>
      <c r="C42" s="154"/>
      <c r="D42" s="152"/>
      <c r="E42" s="249"/>
      <c r="F42" s="210"/>
      <c r="G42" s="212"/>
      <c r="H42" s="212"/>
      <c r="I42" s="243"/>
      <c r="J42" s="185" t="s">
        <v>167</v>
      </c>
      <c r="K42" s="185" t="s">
        <v>167</v>
      </c>
      <c r="L42" s="185" t="s">
        <v>167</v>
      </c>
      <c r="M42" s="185" t="s">
        <v>167</v>
      </c>
      <c r="N42" s="212"/>
      <c r="O42" s="211"/>
      <c r="P42" s="210"/>
      <c r="Q42" s="210"/>
      <c r="R42" s="210"/>
      <c r="S42" s="210"/>
      <c r="T42" s="250"/>
      <c r="U42" s="161"/>
      <c r="V42" s="161"/>
      <c r="W42" s="161"/>
    </row>
    <row r="43" ht="15.75" customHeight="1">
      <c r="A43" s="182"/>
      <c r="B43" s="190" t="s">
        <v>224</v>
      </c>
      <c r="C43" s="154"/>
      <c r="D43" s="152"/>
      <c r="E43" s="249"/>
      <c r="F43" s="210"/>
      <c r="G43" s="212"/>
      <c r="H43" s="212"/>
      <c r="I43" s="243"/>
      <c r="J43" s="212"/>
      <c r="K43" s="243"/>
      <c r="L43" s="210"/>
      <c r="M43" s="210"/>
      <c r="N43" s="211" t="s">
        <v>167</v>
      </c>
      <c r="O43" s="211" t="s">
        <v>167</v>
      </c>
      <c r="P43" s="210"/>
      <c r="Q43" s="210"/>
      <c r="R43" s="210"/>
      <c r="S43" s="210"/>
      <c r="T43" s="250"/>
      <c r="U43" s="161"/>
      <c r="V43" s="161"/>
      <c r="W43" s="161"/>
    </row>
    <row r="44" ht="15.75" customHeight="1">
      <c r="A44" s="182"/>
      <c r="B44" s="213" t="s">
        <v>225</v>
      </c>
      <c r="C44" s="214"/>
      <c r="D44" s="215"/>
      <c r="E44" s="216"/>
      <c r="F44" s="217"/>
      <c r="G44" s="244"/>
      <c r="H44" s="244"/>
      <c r="I44" s="198"/>
      <c r="J44" s="239"/>
      <c r="K44" s="198"/>
      <c r="L44" s="217"/>
      <c r="M44" s="217"/>
      <c r="N44" s="217"/>
      <c r="O44" s="199"/>
      <c r="P44" s="199" t="s">
        <v>167</v>
      </c>
      <c r="Q44" s="218"/>
      <c r="R44" s="218"/>
      <c r="S44" s="218"/>
      <c r="T44" s="219"/>
      <c r="U44" s="161"/>
      <c r="V44" s="161"/>
      <c r="W44" s="161"/>
    </row>
    <row r="45" ht="15.75" customHeight="1">
      <c r="A45" s="220" t="s">
        <v>196</v>
      </c>
      <c r="B45" s="221" t="s">
        <v>197</v>
      </c>
      <c r="C45" s="176"/>
      <c r="D45" s="177"/>
      <c r="E45" s="178"/>
      <c r="F45" s="222" t="s">
        <v>137</v>
      </c>
      <c r="G45" s="222" t="s">
        <v>61</v>
      </c>
      <c r="H45" s="245" t="s">
        <v>61</v>
      </c>
      <c r="I45" s="222" t="s">
        <v>61</v>
      </c>
      <c r="J45" s="245" t="s">
        <v>61</v>
      </c>
      <c r="K45" s="222" t="s">
        <v>61</v>
      </c>
      <c r="L45" s="245" t="s">
        <v>61</v>
      </c>
      <c r="M45" s="222" t="s">
        <v>61</v>
      </c>
      <c r="N45" s="245" t="s">
        <v>61</v>
      </c>
      <c r="O45" s="222" t="s">
        <v>61</v>
      </c>
      <c r="P45" s="245" t="s">
        <v>61</v>
      </c>
      <c r="Q45" s="222"/>
      <c r="R45" s="222"/>
      <c r="S45" s="222"/>
      <c r="T45" s="224"/>
      <c r="U45" s="161"/>
      <c r="V45" s="161"/>
      <c r="W45" s="161"/>
    </row>
    <row r="46" ht="15.75" customHeight="1">
      <c r="A46" s="182"/>
      <c r="B46" s="221" t="s">
        <v>198</v>
      </c>
      <c r="C46" s="176"/>
      <c r="D46" s="177"/>
      <c r="E46" s="184"/>
      <c r="F46" s="225" t="s">
        <v>199</v>
      </c>
      <c r="G46" s="225" t="s">
        <v>199</v>
      </c>
      <c r="H46" s="225" t="s">
        <v>199</v>
      </c>
      <c r="I46" s="225" t="s">
        <v>199</v>
      </c>
      <c r="J46" s="225" t="s">
        <v>199</v>
      </c>
      <c r="K46" s="225" t="s">
        <v>199</v>
      </c>
      <c r="L46" s="225" t="s">
        <v>199</v>
      </c>
      <c r="M46" s="225" t="s">
        <v>199</v>
      </c>
      <c r="N46" s="225" t="s">
        <v>199</v>
      </c>
      <c r="O46" s="225" t="s">
        <v>199</v>
      </c>
      <c r="P46" s="225" t="s">
        <v>199</v>
      </c>
      <c r="Q46" s="225"/>
      <c r="R46" s="225"/>
      <c r="S46" s="225"/>
      <c r="T46" s="226"/>
      <c r="U46" s="161"/>
      <c r="V46" s="161"/>
      <c r="W46" s="161"/>
    </row>
    <row r="47" ht="15.75" customHeight="1">
      <c r="A47" s="182"/>
      <c r="B47" s="221" t="s">
        <v>200</v>
      </c>
      <c r="C47" s="176"/>
      <c r="D47" s="177"/>
      <c r="E47" s="184"/>
      <c r="F47" s="227">
        <v>45964.0</v>
      </c>
      <c r="G47" s="227">
        <v>45964.0</v>
      </c>
      <c r="H47" s="227">
        <v>45964.0</v>
      </c>
      <c r="I47" s="227">
        <v>45964.0</v>
      </c>
      <c r="J47" s="227">
        <v>45964.0</v>
      </c>
      <c r="K47" s="227">
        <v>45964.0</v>
      </c>
      <c r="L47" s="227">
        <v>45964.0</v>
      </c>
      <c r="M47" s="227">
        <v>45964.0</v>
      </c>
      <c r="N47" s="227">
        <v>45964.0</v>
      </c>
      <c r="O47" s="227">
        <v>45964.0</v>
      </c>
      <c r="P47" s="227">
        <v>45964.0</v>
      </c>
      <c r="Q47" s="228"/>
      <c r="R47" s="228"/>
      <c r="S47" s="228"/>
      <c r="T47" s="229"/>
      <c r="U47" s="161"/>
      <c r="V47" s="161"/>
      <c r="W47" s="161"/>
    </row>
    <row r="48" ht="15.75" customHeight="1">
      <c r="A48" s="182"/>
      <c r="B48" s="230" t="s">
        <v>201</v>
      </c>
      <c r="C48" s="231"/>
      <c r="D48" s="232"/>
      <c r="E48" s="233"/>
      <c r="F48" s="217"/>
      <c r="G48" s="217"/>
      <c r="H48" s="217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5"/>
      <c r="T48" s="236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>
      <c r="A240" s="161"/>
      <c r="B240" s="161"/>
      <c r="C240" s="161"/>
      <c r="D240" s="161"/>
      <c r="E240" s="169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 ht="15.75" customHeight="1">
      <c r="A241" s="161"/>
      <c r="B241" s="161"/>
      <c r="C241" s="161"/>
      <c r="D241" s="161"/>
      <c r="E241" s="169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 ht="15.75" customHeight="1">
      <c r="A242" s="161"/>
      <c r="B242" s="161"/>
      <c r="C242" s="161"/>
      <c r="D242" s="161"/>
      <c r="E242" s="169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 ht="15.75" customHeight="1">
      <c r="A243" s="161"/>
      <c r="B243" s="161"/>
      <c r="C243" s="161"/>
      <c r="D243" s="161"/>
      <c r="E243" s="169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</row>
    <row r="244" ht="15.75" customHeight="1">
      <c r="A244" s="161"/>
      <c r="B244" s="161"/>
      <c r="C244" s="161"/>
      <c r="D244" s="161"/>
      <c r="E244" s="169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</row>
    <row r="245" ht="15.75" customHeight="1">
      <c r="A245" s="161"/>
      <c r="B245" s="161"/>
      <c r="C245" s="161"/>
      <c r="D245" s="161"/>
      <c r="E245" s="169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</row>
    <row r="246" ht="15.75" customHeight="1">
      <c r="A246" s="161"/>
      <c r="B246" s="161"/>
      <c r="C246" s="161"/>
      <c r="D246" s="161"/>
      <c r="E246" s="169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</row>
    <row r="247" ht="15.75" customHeight="1">
      <c r="A247" s="161"/>
      <c r="B247" s="161"/>
      <c r="C247" s="161"/>
      <c r="D247" s="161"/>
      <c r="E247" s="169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</row>
    <row r="248" ht="15.75" customHeight="1">
      <c r="A248" s="161"/>
      <c r="B248" s="161"/>
      <c r="C248" s="161"/>
      <c r="D248" s="161"/>
      <c r="E248" s="169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60">
    <mergeCell ref="B46:D46"/>
    <mergeCell ref="B47:D47"/>
    <mergeCell ref="B48:D48"/>
    <mergeCell ref="B39:D39"/>
    <mergeCell ref="B40:D40"/>
    <mergeCell ref="B41:D41"/>
    <mergeCell ref="B42:D42"/>
    <mergeCell ref="B43:D43"/>
    <mergeCell ref="B44:D44"/>
    <mergeCell ref="B45:D45"/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dataValidations>
    <dataValidation type="list" allowBlank="1" showInputMessage="1" showErrorMessage="1" prompt="Click and enter a value from the list of items" sqref="F46:T46">
      <formula1>"P,F"</formula1>
    </dataValidation>
    <dataValidation type="list" allowBlank="1" showInputMessage="1" showErrorMessage="1" prompt=" - " sqref="F8:T44">
      <formula1>"O"</formula1>
    </dataValidation>
    <dataValidation type="list" allowBlank="1" showInputMessage="1" showErrorMessage="1" prompt="Click and enter a value from the list of items" sqref="F45:T45">
      <formula1>"A,B,N"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84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COUNTIF(F33:HT33,"P")</f>
        <v>7</v>
      </c>
      <c r="B5" s="165"/>
      <c r="C5" s="164">
        <f>COUNTIF(H33:HV33,"F")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COUNTIF(E32:HT32,"N")</f>
        <v>1</v>
      </c>
      <c r="M5" s="168">
        <f>COUNTIF(F32:HU32,"A")</f>
        <v>6</v>
      </c>
      <c r="N5" s="168">
        <f>COUNTIF(G32:HV32,"B")</f>
        <v>0</v>
      </c>
      <c r="O5" s="167">
        <f>COUNTA(F7:HW7)</f>
        <v>7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23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185" t="s">
        <v>167</v>
      </c>
      <c r="I11" s="185" t="s">
        <v>167</v>
      </c>
      <c r="J11" s="185" t="s">
        <v>167</v>
      </c>
      <c r="K11" s="185" t="s">
        <v>167</v>
      </c>
      <c r="L11" s="185" t="s">
        <v>167</v>
      </c>
      <c r="M11" s="185"/>
      <c r="N11" s="185"/>
      <c r="O11" s="185"/>
      <c r="P11" s="185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23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23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238"/>
      <c r="I14" s="185" t="s">
        <v>167</v>
      </c>
      <c r="J14" s="185" t="s">
        <v>167</v>
      </c>
      <c r="K14" s="185" t="s">
        <v>167</v>
      </c>
      <c r="L14" s="185" t="s">
        <v>167</v>
      </c>
      <c r="M14" s="185"/>
      <c r="N14" s="185"/>
      <c r="O14" s="185"/>
      <c r="P14" s="185"/>
      <c r="Q14" s="188"/>
      <c r="R14" s="188"/>
      <c r="S14" s="188"/>
      <c r="T14" s="189"/>
      <c r="U14" s="161"/>
      <c r="V14" s="161"/>
      <c r="W14" s="161"/>
    </row>
    <row r="15">
      <c r="A15" s="182"/>
      <c r="B15" s="190" t="s">
        <v>182</v>
      </c>
      <c r="C15" s="154"/>
      <c r="D15" s="152"/>
      <c r="E15" s="249"/>
      <c r="F15" s="212"/>
      <c r="G15" s="243"/>
      <c r="H15" s="185" t="s">
        <v>167</v>
      </c>
      <c r="I15" s="243"/>
      <c r="J15" s="243"/>
      <c r="K15" s="243"/>
      <c r="L15" s="243"/>
      <c r="M15" s="212"/>
      <c r="N15" s="212"/>
      <c r="O15" s="212"/>
      <c r="P15" s="210"/>
      <c r="Q15" s="210"/>
      <c r="R15" s="210"/>
      <c r="S15" s="210"/>
      <c r="T15" s="250"/>
      <c r="U15" s="161"/>
      <c r="V15" s="161"/>
      <c r="W15" s="161"/>
    </row>
    <row r="16">
      <c r="A16" s="182"/>
      <c r="B16" s="187" t="s">
        <v>210</v>
      </c>
      <c r="C16" s="154"/>
      <c r="D16" s="152"/>
      <c r="E16" s="249"/>
      <c r="F16" s="212"/>
      <c r="G16" s="243"/>
      <c r="H16" s="243"/>
      <c r="I16" s="243"/>
      <c r="J16" s="243"/>
      <c r="K16" s="243"/>
      <c r="L16" s="243"/>
      <c r="M16" s="212"/>
      <c r="N16" s="212"/>
      <c r="O16" s="212"/>
      <c r="P16" s="210"/>
      <c r="Q16" s="210"/>
      <c r="R16" s="210"/>
      <c r="S16" s="210"/>
      <c r="T16" s="250"/>
      <c r="U16" s="161"/>
      <c r="V16" s="161"/>
      <c r="W16" s="161"/>
    </row>
    <row r="17">
      <c r="A17" s="182"/>
      <c r="B17" s="190" t="s">
        <v>211</v>
      </c>
      <c r="C17" s="154"/>
      <c r="D17" s="152"/>
      <c r="E17" s="249"/>
      <c r="F17" s="185" t="s">
        <v>167</v>
      </c>
      <c r="G17" s="185" t="s">
        <v>167</v>
      </c>
      <c r="H17" s="185" t="s">
        <v>167</v>
      </c>
      <c r="I17" s="243"/>
      <c r="J17" s="243"/>
      <c r="K17" s="243"/>
      <c r="L17" s="243"/>
      <c r="M17" s="212"/>
      <c r="N17" s="185"/>
      <c r="O17" s="185"/>
      <c r="P17" s="185"/>
      <c r="Q17" s="210"/>
      <c r="R17" s="210"/>
      <c r="S17" s="210"/>
      <c r="T17" s="250"/>
      <c r="U17" s="161"/>
      <c r="V17" s="161"/>
      <c r="W17" s="161"/>
    </row>
    <row r="18">
      <c r="A18" s="182"/>
      <c r="B18" s="190" t="s">
        <v>170</v>
      </c>
      <c r="C18" s="154"/>
      <c r="D18" s="152"/>
      <c r="E18" s="249"/>
      <c r="F18" s="212"/>
      <c r="G18" s="243"/>
      <c r="H18" s="243"/>
      <c r="I18" s="185" t="s">
        <v>167</v>
      </c>
      <c r="J18" s="243"/>
      <c r="K18" s="243"/>
      <c r="L18" s="243"/>
      <c r="M18" s="212"/>
      <c r="N18" s="212"/>
      <c r="O18" s="212"/>
      <c r="P18" s="210"/>
      <c r="Q18" s="210"/>
      <c r="R18" s="210"/>
      <c r="S18" s="210"/>
      <c r="T18" s="250"/>
      <c r="U18" s="161"/>
      <c r="V18" s="161"/>
      <c r="W18" s="161"/>
    </row>
    <row r="19">
      <c r="A19" s="182"/>
      <c r="B19" s="190" t="s">
        <v>212</v>
      </c>
      <c r="C19" s="154"/>
      <c r="D19" s="152"/>
      <c r="E19" s="249"/>
      <c r="F19" s="212"/>
      <c r="G19" s="243"/>
      <c r="H19" s="243"/>
      <c r="I19" s="243"/>
      <c r="J19" s="185" t="s">
        <v>167</v>
      </c>
      <c r="K19" s="243"/>
      <c r="L19" s="243"/>
      <c r="M19" s="212"/>
      <c r="N19" s="212"/>
      <c r="O19" s="212"/>
      <c r="P19" s="210"/>
      <c r="Q19" s="210"/>
      <c r="R19" s="210"/>
      <c r="S19" s="210"/>
      <c r="T19" s="250"/>
      <c r="U19" s="161"/>
      <c r="V19" s="161"/>
      <c r="W19" s="161"/>
    </row>
    <row r="20">
      <c r="A20" s="182"/>
      <c r="B20" s="190" t="s">
        <v>213</v>
      </c>
      <c r="C20" s="154"/>
      <c r="D20" s="152"/>
      <c r="E20" s="249"/>
      <c r="F20" s="212"/>
      <c r="G20" s="243"/>
      <c r="H20" s="243"/>
      <c r="I20" s="243"/>
      <c r="J20" s="243"/>
      <c r="K20" s="185" t="s">
        <v>167</v>
      </c>
      <c r="L20" s="243"/>
      <c r="M20" s="212"/>
      <c r="N20" s="212"/>
      <c r="O20" s="212"/>
      <c r="P20" s="210"/>
      <c r="Q20" s="210"/>
      <c r="R20" s="210"/>
      <c r="S20" s="210"/>
      <c r="T20" s="250"/>
      <c r="U20" s="161"/>
      <c r="V20" s="161"/>
      <c r="W20" s="161"/>
    </row>
    <row r="21">
      <c r="A21" s="192"/>
      <c r="B21" s="247" t="s">
        <v>214</v>
      </c>
      <c r="C21" s="194"/>
      <c r="D21" s="195"/>
      <c r="E21" s="196"/>
      <c r="F21" s="198"/>
      <c r="G21" s="198"/>
      <c r="H21" s="252"/>
      <c r="I21" s="253"/>
      <c r="J21" s="253"/>
      <c r="K21" s="253"/>
      <c r="L21" s="252" t="s">
        <v>167</v>
      </c>
      <c r="M21" s="199"/>
      <c r="N21" s="199"/>
      <c r="O21" s="199"/>
      <c r="P21" s="199"/>
      <c r="Q21" s="197"/>
      <c r="R21" s="197"/>
      <c r="S21" s="197"/>
      <c r="T21" s="200"/>
      <c r="U21" s="161"/>
      <c r="V21" s="161"/>
      <c r="W21" s="161"/>
    </row>
    <row r="22">
      <c r="A22" s="174" t="s">
        <v>183</v>
      </c>
      <c r="B22" s="201" t="s">
        <v>184</v>
      </c>
      <c r="D22" s="202"/>
      <c r="E22" s="203"/>
      <c r="F22" s="179"/>
      <c r="G22" s="240"/>
      <c r="H22" s="240"/>
      <c r="I22" s="240"/>
      <c r="J22" s="240"/>
      <c r="K22" s="240"/>
      <c r="L22" s="240"/>
      <c r="M22" s="179"/>
      <c r="N22" s="179"/>
      <c r="O22" s="179"/>
      <c r="P22" s="179"/>
      <c r="Q22" s="179"/>
      <c r="R22" s="179"/>
      <c r="S22" s="179"/>
      <c r="T22" s="181"/>
      <c r="U22" s="161"/>
      <c r="V22" s="161"/>
      <c r="W22" s="161"/>
    </row>
    <row r="23">
      <c r="A23" s="182"/>
      <c r="B23" s="204" t="b">
        <v>1</v>
      </c>
      <c r="C23" s="154"/>
      <c r="D23" s="152"/>
      <c r="E23" s="184"/>
      <c r="F23" s="185" t="s">
        <v>167</v>
      </c>
      <c r="G23" s="238"/>
      <c r="H23" s="238"/>
      <c r="I23" s="238"/>
      <c r="J23" s="238"/>
      <c r="K23" s="238"/>
      <c r="L23" s="238"/>
      <c r="M23" s="188"/>
      <c r="N23" s="188"/>
      <c r="O23" s="188"/>
      <c r="P23" s="188"/>
      <c r="Q23" s="188"/>
      <c r="R23" s="188"/>
      <c r="S23" s="188"/>
      <c r="T23" s="189"/>
      <c r="U23" s="161"/>
      <c r="V23" s="161"/>
      <c r="W23" s="161"/>
    </row>
    <row r="24">
      <c r="A24" s="182"/>
      <c r="B24" s="204" t="b">
        <v>0</v>
      </c>
      <c r="C24" s="154"/>
      <c r="D24" s="152"/>
      <c r="E24" s="184"/>
      <c r="F24" s="188"/>
      <c r="G24" s="238"/>
      <c r="H24" s="241"/>
      <c r="I24" s="241"/>
      <c r="J24" s="241"/>
      <c r="K24" s="241"/>
      <c r="L24" s="238"/>
      <c r="M24" s="185"/>
      <c r="N24" s="188"/>
      <c r="O24" s="188"/>
      <c r="P24" s="185"/>
      <c r="Q24" s="185"/>
      <c r="R24" s="185"/>
      <c r="S24" s="185"/>
      <c r="T24" s="186"/>
      <c r="U24" s="161"/>
      <c r="V24" s="161"/>
      <c r="W24" s="161"/>
    </row>
    <row r="25">
      <c r="A25" s="182"/>
      <c r="B25" s="206" t="s">
        <v>185</v>
      </c>
      <c r="C25" s="154"/>
      <c r="D25" s="152"/>
      <c r="E25" s="207"/>
      <c r="F25" s="188"/>
      <c r="G25" s="238"/>
      <c r="H25" s="238"/>
      <c r="I25" s="238"/>
      <c r="J25" s="238"/>
      <c r="K25" s="238"/>
      <c r="L25" s="238"/>
      <c r="M25" s="188"/>
      <c r="N25" s="188"/>
      <c r="O25" s="188"/>
      <c r="P25" s="188"/>
      <c r="Q25" s="188"/>
      <c r="R25" s="188"/>
      <c r="S25" s="188"/>
      <c r="T25" s="189"/>
      <c r="U25" s="161"/>
      <c r="V25" s="161"/>
      <c r="W25" s="161"/>
    </row>
    <row r="26">
      <c r="A26" s="182"/>
      <c r="B26" s="183" t="s">
        <v>221</v>
      </c>
      <c r="C26" s="154"/>
      <c r="D26" s="152"/>
      <c r="E26" s="207"/>
      <c r="F26" s="188"/>
      <c r="G26" s="238"/>
      <c r="H26" s="238"/>
      <c r="I26" s="238"/>
      <c r="J26" s="238"/>
      <c r="K26" s="238"/>
      <c r="L26" s="238"/>
      <c r="M26" s="188"/>
      <c r="N26" s="188"/>
      <c r="O26" s="188"/>
      <c r="P26" s="188"/>
      <c r="Q26" s="188"/>
      <c r="R26" s="188"/>
      <c r="S26" s="188"/>
      <c r="T26" s="251"/>
      <c r="U26" s="161"/>
      <c r="V26" s="161"/>
      <c r="W26" s="161"/>
    </row>
    <row r="27">
      <c r="A27" s="182"/>
      <c r="B27" s="183" t="s">
        <v>186</v>
      </c>
      <c r="C27" s="154"/>
      <c r="D27" s="152"/>
      <c r="E27" s="207"/>
      <c r="F27" s="188"/>
      <c r="G27" s="185" t="s">
        <v>167</v>
      </c>
      <c r="H27" s="185" t="s">
        <v>167</v>
      </c>
      <c r="I27" s="185" t="s">
        <v>167</v>
      </c>
      <c r="J27" s="185" t="s">
        <v>167</v>
      </c>
      <c r="K27" s="185" t="s">
        <v>167</v>
      </c>
      <c r="L27" s="185" t="s">
        <v>167</v>
      </c>
      <c r="M27" s="185"/>
      <c r="N27" s="185"/>
      <c r="O27" s="185"/>
      <c r="P27" s="188"/>
      <c r="Q27" s="188"/>
      <c r="R27" s="188"/>
      <c r="S27" s="188"/>
      <c r="T27" s="208"/>
      <c r="U27" s="161"/>
      <c r="V27" s="161"/>
      <c r="W27" s="161"/>
    </row>
    <row r="28" ht="15.75" customHeight="1">
      <c r="A28" s="182"/>
      <c r="B28" s="206" t="s">
        <v>187</v>
      </c>
      <c r="C28" s="154"/>
      <c r="D28" s="152"/>
      <c r="E28" s="184"/>
      <c r="F28" s="209"/>
      <c r="G28" s="242"/>
      <c r="H28" s="242"/>
      <c r="I28" s="242"/>
      <c r="J28" s="242"/>
      <c r="K28" s="242"/>
      <c r="L28" s="242"/>
      <c r="M28" s="209"/>
      <c r="N28" s="209"/>
      <c r="O28" s="209"/>
      <c r="P28" s="209"/>
      <c r="Q28" s="209"/>
      <c r="R28" s="209"/>
      <c r="S28" s="209"/>
      <c r="T28" s="189"/>
      <c r="U28" s="161"/>
      <c r="V28" s="161"/>
      <c r="W28" s="161"/>
    </row>
    <row r="29" ht="15.75" customHeight="1">
      <c r="A29" s="182"/>
      <c r="B29" s="191" t="s">
        <v>206</v>
      </c>
      <c r="C29" s="154"/>
      <c r="D29" s="152"/>
      <c r="E29" s="184"/>
      <c r="F29" s="210"/>
      <c r="G29" s="185" t="s">
        <v>167</v>
      </c>
      <c r="H29" s="243"/>
      <c r="I29" s="243"/>
      <c r="J29" s="243"/>
      <c r="K29" s="243"/>
      <c r="L29" s="243"/>
      <c r="M29" s="210"/>
      <c r="N29" s="212"/>
      <c r="O29" s="211"/>
      <c r="P29" s="210"/>
      <c r="Q29" s="210"/>
      <c r="R29" s="210"/>
      <c r="S29" s="210"/>
      <c r="T29" s="189"/>
      <c r="U29" s="161"/>
      <c r="V29" s="161"/>
      <c r="W29" s="161"/>
    </row>
    <row r="30" ht="15.75" customHeight="1">
      <c r="A30" s="182"/>
      <c r="B30" s="191" t="s">
        <v>195</v>
      </c>
      <c r="C30" s="154"/>
      <c r="D30" s="152"/>
      <c r="E30" s="249"/>
      <c r="F30" s="210"/>
      <c r="G30" s="243"/>
      <c r="H30" s="185" t="s">
        <v>167</v>
      </c>
      <c r="I30" s="243"/>
      <c r="J30" s="243"/>
      <c r="K30" s="243"/>
      <c r="L30" s="243"/>
      <c r="M30" s="210"/>
      <c r="N30" s="212"/>
      <c r="O30" s="211"/>
      <c r="P30" s="210"/>
      <c r="Q30" s="210"/>
      <c r="R30" s="210"/>
      <c r="S30" s="210"/>
      <c r="T30" s="250"/>
      <c r="U30" s="161"/>
      <c r="V30" s="161"/>
      <c r="W30" s="161"/>
    </row>
    <row r="31" ht="15.75" customHeight="1">
      <c r="A31" s="182"/>
      <c r="B31" s="213" t="s">
        <v>223</v>
      </c>
      <c r="C31" s="214"/>
      <c r="D31" s="215"/>
      <c r="E31" s="216"/>
      <c r="F31" s="217"/>
      <c r="G31" s="244"/>
      <c r="H31" s="239"/>
      <c r="I31" s="199" t="s">
        <v>167</v>
      </c>
      <c r="J31" s="199" t="s">
        <v>167</v>
      </c>
      <c r="K31" s="254" t="s">
        <v>167</v>
      </c>
      <c r="L31" s="254" t="s">
        <v>167</v>
      </c>
      <c r="M31" s="217"/>
      <c r="N31" s="217"/>
      <c r="O31" s="199"/>
      <c r="P31" s="199"/>
      <c r="Q31" s="218"/>
      <c r="R31" s="218"/>
      <c r="S31" s="218"/>
      <c r="T31" s="219"/>
      <c r="U31" s="161"/>
      <c r="V31" s="161"/>
      <c r="W31" s="161"/>
    </row>
    <row r="32" ht="15.75" customHeight="1">
      <c r="A32" s="220" t="s">
        <v>196</v>
      </c>
      <c r="B32" s="221" t="s">
        <v>197</v>
      </c>
      <c r="C32" s="176"/>
      <c r="D32" s="177"/>
      <c r="E32" s="178"/>
      <c r="F32" s="222" t="s">
        <v>137</v>
      </c>
      <c r="G32" s="222" t="s">
        <v>61</v>
      </c>
      <c r="H32" s="245" t="s">
        <v>61</v>
      </c>
      <c r="I32" s="222" t="s">
        <v>61</v>
      </c>
      <c r="J32" s="245" t="s">
        <v>61</v>
      </c>
      <c r="K32" s="222" t="s">
        <v>61</v>
      </c>
      <c r="L32" s="245" t="s">
        <v>61</v>
      </c>
      <c r="M32" s="222"/>
      <c r="N32" s="245"/>
      <c r="O32" s="222"/>
      <c r="P32" s="245"/>
      <c r="Q32" s="222"/>
      <c r="R32" s="222"/>
      <c r="S32" s="222"/>
      <c r="T32" s="224"/>
      <c r="U32" s="161"/>
      <c r="V32" s="161"/>
      <c r="W32" s="161"/>
    </row>
    <row r="33" ht="15.75" customHeight="1">
      <c r="A33" s="182"/>
      <c r="B33" s="221" t="s">
        <v>198</v>
      </c>
      <c r="C33" s="176"/>
      <c r="D33" s="177"/>
      <c r="E33" s="184"/>
      <c r="F33" s="225" t="s">
        <v>199</v>
      </c>
      <c r="G33" s="225" t="s">
        <v>199</v>
      </c>
      <c r="H33" s="225" t="s">
        <v>199</v>
      </c>
      <c r="I33" s="225" t="s">
        <v>199</v>
      </c>
      <c r="J33" s="225" t="s">
        <v>199</v>
      </c>
      <c r="K33" s="225" t="s">
        <v>199</v>
      </c>
      <c r="L33" s="225" t="s">
        <v>199</v>
      </c>
      <c r="M33" s="225"/>
      <c r="N33" s="225"/>
      <c r="O33" s="225"/>
      <c r="P33" s="225"/>
      <c r="Q33" s="225"/>
      <c r="R33" s="225"/>
      <c r="S33" s="225"/>
      <c r="T33" s="226"/>
      <c r="U33" s="161"/>
      <c r="V33" s="161"/>
      <c r="W33" s="161"/>
    </row>
    <row r="34" ht="15.75" customHeight="1">
      <c r="A34" s="182"/>
      <c r="B34" s="221" t="s">
        <v>200</v>
      </c>
      <c r="C34" s="176"/>
      <c r="D34" s="177"/>
      <c r="E34" s="184"/>
      <c r="F34" s="227">
        <v>45964.0</v>
      </c>
      <c r="G34" s="227">
        <v>45964.0</v>
      </c>
      <c r="H34" s="227">
        <v>45964.0</v>
      </c>
      <c r="I34" s="227">
        <v>45964.0</v>
      </c>
      <c r="J34" s="227">
        <v>45964.0</v>
      </c>
      <c r="K34" s="227">
        <v>45964.0</v>
      </c>
      <c r="L34" s="227">
        <v>45964.0</v>
      </c>
      <c r="M34" s="227"/>
      <c r="N34" s="227"/>
      <c r="O34" s="227"/>
      <c r="P34" s="227"/>
      <c r="Q34" s="228"/>
      <c r="R34" s="228"/>
      <c r="S34" s="228"/>
      <c r="T34" s="229"/>
      <c r="U34" s="161"/>
      <c r="V34" s="161"/>
      <c r="W34" s="161"/>
    </row>
    <row r="35" ht="15.75" customHeight="1">
      <c r="A35" s="182"/>
      <c r="B35" s="230" t="s">
        <v>201</v>
      </c>
      <c r="C35" s="231"/>
      <c r="D35" s="232"/>
      <c r="E35" s="233"/>
      <c r="F35" s="217"/>
      <c r="G35" s="217"/>
      <c r="H35" s="217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  <c r="T35" s="236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3:T33">
      <formula1>"P,F"</formula1>
    </dataValidation>
    <dataValidation type="list" allowBlank="1" showInputMessage="1" showErrorMessage="1" prompt=" - " sqref="F8:T31">
      <formula1>"O"</formula1>
    </dataValidation>
    <dataValidation type="list" allowBlank="1" showInputMessage="1" showErrorMessage="1" prompt="Click and enter a value from the list of items" sqref="F32:T32">
      <formula1>"A,B,N"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85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COUNTIF(F33:HT33,"P")</f>
        <v>7</v>
      </c>
      <c r="B5" s="165"/>
      <c r="C5" s="164">
        <f>COUNTIF(H33:HV33,"F")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COUNTIF(E32:HT32,"N")</f>
        <v>1</v>
      </c>
      <c r="M5" s="168">
        <f>COUNTIF(F32:HU32,"A")</f>
        <v>6</v>
      </c>
      <c r="N5" s="168">
        <f>COUNTIF(G32:HV32,"B")</f>
        <v>0</v>
      </c>
      <c r="O5" s="167">
        <f>COUNTA(F7:HW7)</f>
        <v>7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23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185" t="s">
        <v>167</v>
      </c>
      <c r="I11" s="185" t="s">
        <v>167</v>
      </c>
      <c r="J11" s="185" t="s">
        <v>167</v>
      </c>
      <c r="K11" s="185" t="s">
        <v>167</v>
      </c>
      <c r="L11" s="185" t="s">
        <v>167</v>
      </c>
      <c r="M11" s="185"/>
      <c r="N11" s="185"/>
      <c r="O11" s="185"/>
      <c r="P11" s="185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23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23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238"/>
      <c r="I14" s="185" t="s">
        <v>167</v>
      </c>
      <c r="J14" s="185" t="s">
        <v>167</v>
      </c>
      <c r="K14" s="185" t="s">
        <v>167</v>
      </c>
      <c r="L14" s="185" t="s">
        <v>167</v>
      </c>
      <c r="M14" s="185"/>
      <c r="N14" s="185"/>
      <c r="O14" s="185"/>
      <c r="P14" s="185"/>
      <c r="Q14" s="188"/>
      <c r="R14" s="188"/>
      <c r="S14" s="188"/>
      <c r="T14" s="189"/>
      <c r="U14" s="161"/>
      <c r="V14" s="161"/>
      <c r="W14" s="161"/>
    </row>
    <row r="15">
      <c r="A15" s="182"/>
      <c r="B15" s="190" t="s">
        <v>182</v>
      </c>
      <c r="C15" s="154"/>
      <c r="D15" s="152"/>
      <c r="E15" s="249"/>
      <c r="F15" s="212"/>
      <c r="G15" s="243"/>
      <c r="H15" s="185" t="s">
        <v>167</v>
      </c>
      <c r="I15" s="243"/>
      <c r="J15" s="243"/>
      <c r="K15" s="243"/>
      <c r="L15" s="243"/>
      <c r="M15" s="212"/>
      <c r="N15" s="212"/>
      <c r="O15" s="212"/>
      <c r="P15" s="210"/>
      <c r="Q15" s="210"/>
      <c r="R15" s="210"/>
      <c r="S15" s="210"/>
      <c r="T15" s="250"/>
      <c r="U15" s="161"/>
      <c r="V15" s="161"/>
      <c r="W15" s="161"/>
    </row>
    <row r="16">
      <c r="A16" s="182"/>
      <c r="B16" s="187" t="s">
        <v>210</v>
      </c>
      <c r="C16" s="154"/>
      <c r="D16" s="152"/>
      <c r="E16" s="249"/>
      <c r="F16" s="212"/>
      <c r="G16" s="243"/>
      <c r="H16" s="243"/>
      <c r="I16" s="243"/>
      <c r="J16" s="243"/>
      <c r="K16" s="243"/>
      <c r="L16" s="243"/>
      <c r="M16" s="212"/>
      <c r="N16" s="212"/>
      <c r="O16" s="212"/>
      <c r="P16" s="210"/>
      <c r="Q16" s="210"/>
      <c r="R16" s="210"/>
      <c r="S16" s="210"/>
      <c r="T16" s="250"/>
      <c r="U16" s="161"/>
      <c r="V16" s="161"/>
      <c r="W16" s="161"/>
    </row>
    <row r="17">
      <c r="A17" s="182"/>
      <c r="B17" s="190" t="s">
        <v>211</v>
      </c>
      <c r="C17" s="154"/>
      <c r="D17" s="152"/>
      <c r="E17" s="249"/>
      <c r="F17" s="185" t="s">
        <v>167</v>
      </c>
      <c r="G17" s="185" t="s">
        <v>167</v>
      </c>
      <c r="H17" s="185" t="s">
        <v>167</v>
      </c>
      <c r="I17" s="243"/>
      <c r="J17" s="243"/>
      <c r="K17" s="243"/>
      <c r="L17" s="243"/>
      <c r="M17" s="212"/>
      <c r="N17" s="185"/>
      <c r="O17" s="185"/>
      <c r="P17" s="185"/>
      <c r="Q17" s="210"/>
      <c r="R17" s="210"/>
      <c r="S17" s="210"/>
      <c r="T17" s="250"/>
      <c r="U17" s="161"/>
      <c r="V17" s="161"/>
      <c r="W17" s="161"/>
    </row>
    <row r="18">
      <c r="A18" s="182"/>
      <c r="B18" s="190" t="s">
        <v>170</v>
      </c>
      <c r="C18" s="154"/>
      <c r="D18" s="152"/>
      <c r="E18" s="249"/>
      <c r="F18" s="212"/>
      <c r="G18" s="243"/>
      <c r="H18" s="243"/>
      <c r="I18" s="185" t="s">
        <v>167</v>
      </c>
      <c r="J18" s="243"/>
      <c r="K18" s="243"/>
      <c r="L18" s="243"/>
      <c r="M18" s="212"/>
      <c r="N18" s="212"/>
      <c r="O18" s="212"/>
      <c r="P18" s="210"/>
      <c r="Q18" s="210"/>
      <c r="R18" s="210"/>
      <c r="S18" s="210"/>
      <c r="T18" s="250"/>
      <c r="U18" s="161"/>
      <c r="V18" s="161"/>
      <c r="W18" s="161"/>
    </row>
    <row r="19">
      <c r="A19" s="182"/>
      <c r="B19" s="190" t="s">
        <v>212</v>
      </c>
      <c r="C19" s="154"/>
      <c r="D19" s="152"/>
      <c r="E19" s="249"/>
      <c r="F19" s="212"/>
      <c r="G19" s="243"/>
      <c r="H19" s="243"/>
      <c r="I19" s="243"/>
      <c r="J19" s="185" t="s">
        <v>167</v>
      </c>
      <c r="K19" s="243"/>
      <c r="L19" s="243"/>
      <c r="M19" s="212"/>
      <c r="N19" s="212"/>
      <c r="O19" s="212"/>
      <c r="P19" s="210"/>
      <c r="Q19" s="210"/>
      <c r="R19" s="210"/>
      <c r="S19" s="210"/>
      <c r="T19" s="250"/>
      <c r="U19" s="161"/>
      <c r="V19" s="161"/>
      <c r="W19" s="161"/>
    </row>
    <row r="20">
      <c r="A20" s="182"/>
      <c r="B20" s="190" t="s">
        <v>213</v>
      </c>
      <c r="C20" s="154"/>
      <c r="D20" s="152"/>
      <c r="E20" s="249"/>
      <c r="F20" s="212"/>
      <c r="G20" s="243"/>
      <c r="H20" s="243"/>
      <c r="I20" s="243"/>
      <c r="J20" s="243"/>
      <c r="K20" s="185" t="s">
        <v>167</v>
      </c>
      <c r="L20" s="243"/>
      <c r="M20" s="212"/>
      <c r="N20" s="212"/>
      <c r="O20" s="212"/>
      <c r="P20" s="210"/>
      <c r="Q20" s="210"/>
      <c r="R20" s="210"/>
      <c r="S20" s="210"/>
      <c r="T20" s="250"/>
      <c r="U20" s="161"/>
      <c r="V20" s="161"/>
      <c r="W20" s="161"/>
    </row>
    <row r="21">
      <c r="A21" s="192"/>
      <c r="B21" s="247" t="s">
        <v>214</v>
      </c>
      <c r="C21" s="194"/>
      <c r="D21" s="195"/>
      <c r="E21" s="196"/>
      <c r="F21" s="198"/>
      <c r="G21" s="198"/>
      <c r="H21" s="252"/>
      <c r="I21" s="253"/>
      <c r="J21" s="253"/>
      <c r="K21" s="253"/>
      <c r="L21" s="252" t="s">
        <v>167</v>
      </c>
      <c r="M21" s="199"/>
      <c r="N21" s="199"/>
      <c r="O21" s="199"/>
      <c r="P21" s="199"/>
      <c r="Q21" s="197"/>
      <c r="R21" s="197"/>
      <c r="S21" s="197"/>
      <c r="T21" s="200"/>
      <c r="U21" s="161"/>
      <c r="V21" s="161"/>
      <c r="W21" s="161"/>
    </row>
    <row r="22">
      <c r="A22" s="174" t="s">
        <v>183</v>
      </c>
      <c r="B22" s="201" t="s">
        <v>184</v>
      </c>
      <c r="D22" s="202"/>
      <c r="E22" s="203"/>
      <c r="F22" s="179"/>
      <c r="G22" s="240"/>
      <c r="H22" s="240"/>
      <c r="I22" s="240"/>
      <c r="J22" s="240"/>
      <c r="K22" s="240"/>
      <c r="L22" s="240"/>
      <c r="M22" s="179"/>
      <c r="N22" s="179"/>
      <c r="O22" s="179"/>
      <c r="P22" s="179"/>
      <c r="Q22" s="179"/>
      <c r="R22" s="179"/>
      <c r="S22" s="179"/>
      <c r="T22" s="181"/>
      <c r="U22" s="161"/>
      <c r="V22" s="161"/>
      <c r="W22" s="161"/>
    </row>
    <row r="23">
      <c r="A23" s="182"/>
      <c r="B23" s="204" t="b">
        <v>1</v>
      </c>
      <c r="C23" s="154"/>
      <c r="D23" s="152"/>
      <c r="E23" s="184"/>
      <c r="F23" s="185" t="s">
        <v>167</v>
      </c>
      <c r="G23" s="238"/>
      <c r="H23" s="238"/>
      <c r="I23" s="238"/>
      <c r="J23" s="238"/>
      <c r="K23" s="238"/>
      <c r="L23" s="238"/>
      <c r="M23" s="188"/>
      <c r="N23" s="188"/>
      <c r="O23" s="188"/>
      <c r="P23" s="188"/>
      <c r="Q23" s="188"/>
      <c r="R23" s="188"/>
      <c r="S23" s="188"/>
      <c r="T23" s="189"/>
      <c r="U23" s="161"/>
      <c r="V23" s="161"/>
      <c r="W23" s="161"/>
    </row>
    <row r="24">
      <c r="A24" s="182"/>
      <c r="B24" s="204" t="b">
        <v>0</v>
      </c>
      <c r="C24" s="154"/>
      <c r="D24" s="152"/>
      <c r="E24" s="184"/>
      <c r="F24" s="188"/>
      <c r="G24" s="238"/>
      <c r="H24" s="241"/>
      <c r="I24" s="241"/>
      <c r="J24" s="241"/>
      <c r="K24" s="241"/>
      <c r="L24" s="238"/>
      <c r="M24" s="185"/>
      <c r="N24" s="188"/>
      <c r="O24" s="188"/>
      <c r="P24" s="185"/>
      <c r="Q24" s="185"/>
      <c r="R24" s="185"/>
      <c r="S24" s="185"/>
      <c r="T24" s="186"/>
      <c r="U24" s="161"/>
      <c r="V24" s="161"/>
      <c r="W24" s="161"/>
    </row>
    <row r="25">
      <c r="A25" s="182"/>
      <c r="B25" s="206" t="s">
        <v>185</v>
      </c>
      <c r="C25" s="154"/>
      <c r="D25" s="152"/>
      <c r="E25" s="207"/>
      <c r="F25" s="188"/>
      <c r="G25" s="238"/>
      <c r="H25" s="238"/>
      <c r="I25" s="238"/>
      <c r="J25" s="238"/>
      <c r="K25" s="238"/>
      <c r="L25" s="238"/>
      <c r="M25" s="188"/>
      <c r="N25" s="188"/>
      <c r="O25" s="188"/>
      <c r="P25" s="188"/>
      <c r="Q25" s="188"/>
      <c r="R25" s="188"/>
      <c r="S25" s="188"/>
      <c r="T25" s="189"/>
      <c r="U25" s="161"/>
      <c r="V25" s="161"/>
      <c r="W25" s="161"/>
    </row>
    <row r="26">
      <c r="A26" s="182"/>
      <c r="B26" s="183" t="s">
        <v>221</v>
      </c>
      <c r="C26" s="154"/>
      <c r="D26" s="152"/>
      <c r="E26" s="207"/>
      <c r="F26" s="188"/>
      <c r="G26" s="238"/>
      <c r="H26" s="238"/>
      <c r="I26" s="238"/>
      <c r="J26" s="238"/>
      <c r="K26" s="238"/>
      <c r="L26" s="238"/>
      <c r="M26" s="188"/>
      <c r="N26" s="188"/>
      <c r="O26" s="188"/>
      <c r="P26" s="188"/>
      <c r="Q26" s="188"/>
      <c r="R26" s="188"/>
      <c r="S26" s="188"/>
      <c r="T26" s="251"/>
      <c r="U26" s="161"/>
      <c r="V26" s="161"/>
      <c r="W26" s="161"/>
    </row>
    <row r="27">
      <c r="A27" s="182"/>
      <c r="B27" s="183" t="s">
        <v>186</v>
      </c>
      <c r="C27" s="154"/>
      <c r="D27" s="152"/>
      <c r="E27" s="207"/>
      <c r="F27" s="188"/>
      <c r="G27" s="185" t="s">
        <v>167</v>
      </c>
      <c r="H27" s="185" t="s">
        <v>167</v>
      </c>
      <c r="I27" s="185" t="s">
        <v>167</v>
      </c>
      <c r="J27" s="185" t="s">
        <v>167</v>
      </c>
      <c r="K27" s="185" t="s">
        <v>167</v>
      </c>
      <c r="L27" s="185" t="s">
        <v>167</v>
      </c>
      <c r="M27" s="185"/>
      <c r="N27" s="185"/>
      <c r="O27" s="185"/>
      <c r="P27" s="188"/>
      <c r="Q27" s="188"/>
      <c r="R27" s="188"/>
      <c r="S27" s="188"/>
      <c r="T27" s="208"/>
      <c r="U27" s="161"/>
      <c r="V27" s="161"/>
      <c r="W27" s="161"/>
    </row>
    <row r="28" ht="15.75" customHeight="1">
      <c r="A28" s="182"/>
      <c r="B28" s="206" t="s">
        <v>187</v>
      </c>
      <c r="C28" s="154"/>
      <c r="D28" s="152"/>
      <c r="E28" s="184"/>
      <c r="F28" s="209"/>
      <c r="G28" s="242"/>
      <c r="H28" s="242"/>
      <c r="I28" s="242"/>
      <c r="J28" s="242"/>
      <c r="K28" s="242"/>
      <c r="L28" s="242"/>
      <c r="M28" s="209"/>
      <c r="N28" s="209"/>
      <c r="O28" s="209"/>
      <c r="P28" s="209"/>
      <c r="Q28" s="209"/>
      <c r="R28" s="209"/>
      <c r="S28" s="209"/>
      <c r="T28" s="189"/>
      <c r="U28" s="161"/>
      <c r="V28" s="161"/>
      <c r="W28" s="161"/>
    </row>
    <row r="29" ht="15.75" customHeight="1">
      <c r="A29" s="182"/>
      <c r="B29" s="191" t="s">
        <v>206</v>
      </c>
      <c r="C29" s="154"/>
      <c r="D29" s="152"/>
      <c r="E29" s="184"/>
      <c r="F29" s="210"/>
      <c r="G29" s="185" t="s">
        <v>167</v>
      </c>
      <c r="H29" s="243"/>
      <c r="I29" s="243"/>
      <c r="J29" s="243"/>
      <c r="K29" s="243"/>
      <c r="L29" s="243"/>
      <c r="M29" s="210"/>
      <c r="N29" s="212"/>
      <c r="O29" s="211"/>
      <c r="P29" s="210"/>
      <c r="Q29" s="210"/>
      <c r="R29" s="210"/>
      <c r="S29" s="210"/>
      <c r="T29" s="189"/>
      <c r="U29" s="161"/>
      <c r="V29" s="161"/>
      <c r="W29" s="161"/>
    </row>
    <row r="30" ht="15.75" customHeight="1">
      <c r="A30" s="182"/>
      <c r="B30" s="191" t="s">
        <v>195</v>
      </c>
      <c r="C30" s="154"/>
      <c r="D30" s="152"/>
      <c r="E30" s="249"/>
      <c r="F30" s="210"/>
      <c r="G30" s="243"/>
      <c r="H30" s="185" t="s">
        <v>167</v>
      </c>
      <c r="I30" s="243"/>
      <c r="J30" s="243"/>
      <c r="K30" s="243"/>
      <c r="L30" s="243"/>
      <c r="M30" s="210"/>
      <c r="N30" s="212"/>
      <c r="O30" s="211"/>
      <c r="P30" s="210"/>
      <c r="Q30" s="210"/>
      <c r="R30" s="210"/>
      <c r="S30" s="210"/>
      <c r="T30" s="250"/>
      <c r="U30" s="161"/>
      <c r="V30" s="161"/>
      <c r="W30" s="161"/>
    </row>
    <row r="31" ht="15.75" customHeight="1">
      <c r="A31" s="182"/>
      <c r="B31" s="213" t="s">
        <v>223</v>
      </c>
      <c r="C31" s="214"/>
      <c r="D31" s="215"/>
      <c r="E31" s="216"/>
      <c r="F31" s="217"/>
      <c r="G31" s="244"/>
      <c r="H31" s="239"/>
      <c r="I31" s="199" t="s">
        <v>167</v>
      </c>
      <c r="J31" s="199" t="s">
        <v>167</v>
      </c>
      <c r="K31" s="254" t="s">
        <v>167</v>
      </c>
      <c r="L31" s="254" t="s">
        <v>167</v>
      </c>
      <c r="M31" s="217"/>
      <c r="N31" s="217"/>
      <c r="O31" s="199"/>
      <c r="P31" s="199"/>
      <c r="Q31" s="218"/>
      <c r="R31" s="218"/>
      <c r="S31" s="218"/>
      <c r="T31" s="219"/>
      <c r="U31" s="161"/>
      <c r="V31" s="161"/>
      <c r="W31" s="161"/>
    </row>
    <row r="32" ht="15.75" customHeight="1">
      <c r="A32" s="220" t="s">
        <v>196</v>
      </c>
      <c r="B32" s="221" t="s">
        <v>197</v>
      </c>
      <c r="C32" s="176"/>
      <c r="D32" s="177"/>
      <c r="E32" s="178"/>
      <c r="F32" s="222" t="s">
        <v>137</v>
      </c>
      <c r="G32" s="222" t="s">
        <v>61</v>
      </c>
      <c r="H32" s="245" t="s">
        <v>61</v>
      </c>
      <c r="I32" s="222" t="s">
        <v>61</v>
      </c>
      <c r="J32" s="245" t="s">
        <v>61</v>
      </c>
      <c r="K32" s="222" t="s">
        <v>61</v>
      </c>
      <c r="L32" s="245" t="s">
        <v>61</v>
      </c>
      <c r="M32" s="222"/>
      <c r="N32" s="245"/>
      <c r="O32" s="222"/>
      <c r="P32" s="245"/>
      <c r="Q32" s="222"/>
      <c r="R32" s="222"/>
      <c r="S32" s="222"/>
      <c r="T32" s="224"/>
      <c r="U32" s="161"/>
      <c r="V32" s="161"/>
      <c r="W32" s="161"/>
    </row>
    <row r="33" ht="15.75" customHeight="1">
      <c r="A33" s="182"/>
      <c r="B33" s="221" t="s">
        <v>198</v>
      </c>
      <c r="C33" s="176"/>
      <c r="D33" s="177"/>
      <c r="E33" s="184"/>
      <c r="F33" s="225" t="s">
        <v>199</v>
      </c>
      <c r="G33" s="225" t="s">
        <v>199</v>
      </c>
      <c r="H33" s="225" t="s">
        <v>199</v>
      </c>
      <c r="I33" s="225" t="s">
        <v>199</v>
      </c>
      <c r="J33" s="225" t="s">
        <v>199</v>
      </c>
      <c r="K33" s="225" t="s">
        <v>199</v>
      </c>
      <c r="L33" s="225" t="s">
        <v>199</v>
      </c>
      <c r="M33" s="225"/>
      <c r="N33" s="225"/>
      <c r="O33" s="225"/>
      <c r="P33" s="225"/>
      <c r="Q33" s="225"/>
      <c r="R33" s="225"/>
      <c r="S33" s="225"/>
      <c r="T33" s="226"/>
      <c r="U33" s="161"/>
      <c r="V33" s="161"/>
      <c r="W33" s="161"/>
    </row>
    <row r="34" ht="15.75" customHeight="1">
      <c r="A34" s="182"/>
      <c r="B34" s="221" t="s">
        <v>200</v>
      </c>
      <c r="C34" s="176"/>
      <c r="D34" s="177"/>
      <c r="E34" s="184"/>
      <c r="F34" s="227">
        <v>45964.0</v>
      </c>
      <c r="G34" s="227">
        <v>45964.0</v>
      </c>
      <c r="H34" s="227">
        <v>45964.0</v>
      </c>
      <c r="I34" s="227">
        <v>45964.0</v>
      </c>
      <c r="J34" s="227">
        <v>45964.0</v>
      </c>
      <c r="K34" s="227">
        <v>45964.0</v>
      </c>
      <c r="L34" s="227">
        <v>45964.0</v>
      </c>
      <c r="M34" s="227"/>
      <c r="N34" s="227"/>
      <c r="O34" s="227"/>
      <c r="P34" s="227"/>
      <c r="Q34" s="228"/>
      <c r="R34" s="228"/>
      <c r="S34" s="228"/>
      <c r="T34" s="229"/>
      <c r="U34" s="161"/>
      <c r="V34" s="161"/>
      <c r="W34" s="161"/>
    </row>
    <row r="35" ht="15.75" customHeight="1">
      <c r="A35" s="182"/>
      <c r="B35" s="230" t="s">
        <v>201</v>
      </c>
      <c r="C35" s="231"/>
      <c r="D35" s="232"/>
      <c r="E35" s="233"/>
      <c r="F35" s="217"/>
      <c r="G35" s="217"/>
      <c r="H35" s="217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  <c r="T35" s="236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3:T33">
      <formula1>"P,F"</formula1>
    </dataValidation>
    <dataValidation type="list" allowBlank="1" showInputMessage="1" showErrorMessage="1" prompt=" - " sqref="F8:T31">
      <formula1>"O"</formula1>
    </dataValidation>
    <dataValidation type="list" allowBlank="1" showInputMessage="1" showErrorMessage="1" prompt="Click and enter a value from the list of items" sqref="F32:T32">
      <formula1>"A,B,N"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86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45965.0</v>
      </c>
      <c r="G26" s="227">
        <v>45965.0</v>
      </c>
      <c r="H26" s="227">
        <v>45965.0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87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45965.0</v>
      </c>
      <c r="G26" s="227">
        <v>45965.0</v>
      </c>
      <c r="H26" s="227">
        <v>45965.0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98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88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COUNTIF(F25:HT25,"P")</f>
        <v>3</v>
      </c>
      <c r="B5" s="165"/>
      <c r="C5" s="164">
        <f>COUNTIF(H25:HV25,"F")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COUNTIF(E24:HT24,"N")</f>
        <v>1</v>
      </c>
      <c r="M5" s="168">
        <f>COUNTIF(F24:HU24,"A")</f>
        <v>2</v>
      </c>
      <c r="N5" s="168">
        <f>COUNTIF(G24:HV24,"B")</f>
        <v>0</v>
      </c>
      <c r="O5" s="167">
        <f>COUNTA(F7:HW7)</f>
        <v>3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238"/>
      <c r="J9" s="185"/>
      <c r="K9" s="238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203</v>
      </c>
      <c r="C10" s="154"/>
      <c r="D10" s="152"/>
      <c r="E10" s="184"/>
      <c r="F10" s="188"/>
      <c r="G10" s="23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90" t="s">
        <v>204</v>
      </c>
      <c r="C11" s="154"/>
      <c r="D11" s="152"/>
      <c r="E11" s="184"/>
      <c r="F11" s="185" t="s">
        <v>167</v>
      </c>
      <c r="G11" s="238"/>
      <c r="H11" s="238"/>
      <c r="I11" s="238"/>
      <c r="J11" s="238"/>
      <c r="K11" s="23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90" t="s">
        <v>205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5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7" t="s">
        <v>180</v>
      </c>
      <c r="C13" s="154"/>
      <c r="D13" s="152"/>
      <c r="E13" s="184"/>
      <c r="F13" s="188"/>
      <c r="G13" s="23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185"/>
      <c r="I14" s="238"/>
      <c r="J14" s="185"/>
      <c r="K14" s="238"/>
      <c r="L14" s="185"/>
      <c r="M14" s="185"/>
      <c r="N14" s="185"/>
      <c r="O14" s="185"/>
      <c r="P14" s="188"/>
      <c r="Q14" s="188"/>
      <c r="R14" s="188"/>
      <c r="S14" s="188"/>
      <c r="T14" s="189"/>
      <c r="U14" s="161"/>
      <c r="V14" s="161"/>
      <c r="W14" s="161"/>
    </row>
    <row r="15">
      <c r="A15" s="192"/>
      <c r="B15" s="193" t="s">
        <v>182</v>
      </c>
      <c r="C15" s="194"/>
      <c r="D15" s="195"/>
      <c r="E15" s="196"/>
      <c r="F15" s="197"/>
      <c r="G15" s="239"/>
      <c r="H15" s="198" t="s">
        <v>167</v>
      </c>
      <c r="I15" s="198"/>
      <c r="J15" s="239"/>
      <c r="K15" s="198"/>
      <c r="L15" s="197"/>
      <c r="M15" s="197"/>
      <c r="N15" s="197"/>
      <c r="O15" s="199"/>
      <c r="P15" s="199"/>
      <c r="Q15" s="197"/>
      <c r="R15" s="197"/>
      <c r="S15" s="197"/>
      <c r="T15" s="200"/>
      <c r="U15" s="161"/>
      <c r="V15" s="161"/>
      <c r="W15" s="161"/>
    </row>
    <row r="16">
      <c r="A16" s="174" t="s">
        <v>183</v>
      </c>
      <c r="B16" s="201" t="s">
        <v>184</v>
      </c>
      <c r="D16" s="202"/>
      <c r="E16" s="203"/>
      <c r="F16" s="179"/>
      <c r="G16" s="240"/>
      <c r="H16" s="240"/>
      <c r="I16" s="240"/>
      <c r="J16" s="240"/>
      <c r="K16" s="240"/>
      <c r="L16" s="179"/>
      <c r="M16" s="179"/>
      <c r="N16" s="179"/>
      <c r="O16" s="179"/>
      <c r="P16" s="179"/>
      <c r="Q16" s="179"/>
      <c r="R16" s="179"/>
      <c r="S16" s="179"/>
      <c r="T16" s="181"/>
      <c r="U16" s="161"/>
      <c r="V16" s="161"/>
      <c r="W16" s="161"/>
    </row>
    <row r="17">
      <c r="A17" s="182"/>
      <c r="B17" s="204" t="b">
        <v>1</v>
      </c>
      <c r="C17" s="154"/>
      <c r="D17" s="152"/>
      <c r="E17" s="184"/>
      <c r="F17" s="185" t="s">
        <v>167</v>
      </c>
      <c r="G17" s="238"/>
      <c r="H17" s="238"/>
      <c r="I17" s="238"/>
      <c r="J17" s="238"/>
      <c r="K17" s="238"/>
      <c r="L17" s="188"/>
      <c r="M17" s="188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204" t="b">
        <v>0</v>
      </c>
      <c r="C18" s="154"/>
      <c r="D18" s="152"/>
      <c r="E18" s="184"/>
      <c r="F18" s="188"/>
      <c r="G18" s="238"/>
      <c r="H18" s="241"/>
      <c r="I18" s="241"/>
      <c r="J18" s="241"/>
      <c r="K18" s="241"/>
      <c r="L18" s="185"/>
      <c r="M18" s="185"/>
      <c r="N18" s="188"/>
      <c r="O18" s="188"/>
      <c r="P18" s="185"/>
      <c r="Q18" s="185"/>
      <c r="R18" s="185"/>
      <c r="S18" s="185"/>
      <c r="T18" s="186"/>
      <c r="U18" s="161"/>
      <c r="V18" s="161"/>
      <c r="W18" s="161"/>
    </row>
    <row r="19">
      <c r="A19" s="182"/>
      <c r="B19" s="206" t="s">
        <v>185</v>
      </c>
      <c r="C19" s="154"/>
      <c r="D19" s="152"/>
      <c r="E19" s="207"/>
      <c r="F19" s="188"/>
      <c r="G19" s="238"/>
      <c r="H19" s="238"/>
      <c r="I19" s="238"/>
      <c r="J19" s="238"/>
      <c r="K19" s="238"/>
      <c r="L19" s="188"/>
      <c r="M19" s="188"/>
      <c r="N19" s="188"/>
      <c r="O19" s="188"/>
      <c r="P19" s="188"/>
      <c r="Q19" s="188"/>
      <c r="R19" s="188"/>
      <c r="S19" s="188"/>
      <c r="T19" s="189"/>
      <c r="U19" s="161"/>
      <c r="V19" s="161"/>
      <c r="W19" s="161"/>
    </row>
    <row r="20">
      <c r="A20" s="182"/>
      <c r="B20" s="183" t="s">
        <v>186</v>
      </c>
      <c r="C20" s="154"/>
      <c r="D20" s="152"/>
      <c r="E20" s="207"/>
      <c r="F20" s="188"/>
      <c r="G20" s="185" t="s">
        <v>167</v>
      </c>
      <c r="H20" s="185" t="s">
        <v>167</v>
      </c>
      <c r="I20" s="238"/>
      <c r="J20" s="238"/>
      <c r="K20" s="238"/>
      <c r="L20" s="188"/>
      <c r="M20" s="188"/>
      <c r="N20" s="185"/>
      <c r="O20" s="185"/>
      <c r="P20" s="188"/>
      <c r="Q20" s="188"/>
      <c r="R20" s="188"/>
      <c r="S20" s="188"/>
      <c r="T20" s="208"/>
      <c r="U20" s="161"/>
      <c r="V20" s="161"/>
      <c r="W20" s="161"/>
    </row>
    <row r="21" ht="15.75" customHeight="1">
      <c r="A21" s="182"/>
      <c r="B21" s="206" t="s">
        <v>187</v>
      </c>
      <c r="C21" s="154"/>
      <c r="D21" s="152"/>
      <c r="E21" s="184"/>
      <c r="F21" s="209"/>
      <c r="G21" s="242"/>
      <c r="H21" s="242"/>
      <c r="I21" s="242"/>
      <c r="J21" s="242"/>
      <c r="K21" s="242"/>
      <c r="L21" s="209"/>
      <c r="M21" s="209"/>
      <c r="N21" s="209"/>
      <c r="O21" s="209"/>
      <c r="P21" s="209"/>
      <c r="Q21" s="209"/>
      <c r="R21" s="209"/>
      <c r="S21" s="209"/>
      <c r="T21" s="189"/>
      <c r="U21" s="161"/>
      <c r="V21" s="161"/>
      <c r="W21" s="161"/>
    </row>
    <row r="22" ht="15.75" customHeight="1">
      <c r="A22" s="182"/>
      <c r="B22" s="191" t="s">
        <v>206</v>
      </c>
      <c r="C22" s="154"/>
      <c r="D22" s="152"/>
      <c r="E22" s="184"/>
      <c r="F22" s="210"/>
      <c r="G22" s="185" t="s">
        <v>167</v>
      </c>
      <c r="H22" s="243"/>
      <c r="I22" s="243"/>
      <c r="J22" s="212"/>
      <c r="K22" s="243"/>
      <c r="L22" s="210"/>
      <c r="M22" s="210"/>
      <c r="N22" s="212"/>
      <c r="O22" s="211"/>
      <c r="P22" s="210"/>
      <c r="Q22" s="210"/>
      <c r="R22" s="210"/>
      <c r="S22" s="210"/>
      <c r="T22" s="189"/>
      <c r="U22" s="161"/>
      <c r="V22" s="161"/>
      <c r="W22" s="161"/>
    </row>
    <row r="23" ht="15.75" customHeight="1">
      <c r="A23" s="182"/>
      <c r="B23" s="213" t="s">
        <v>195</v>
      </c>
      <c r="C23" s="214"/>
      <c r="D23" s="215"/>
      <c r="E23" s="216"/>
      <c r="F23" s="217"/>
      <c r="G23" s="244"/>
      <c r="H23" s="198" t="s">
        <v>167</v>
      </c>
      <c r="I23" s="198"/>
      <c r="J23" s="239"/>
      <c r="K23" s="198"/>
      <c r="L23" s="217"/>
      <c r="M23" s="217"/>
      <c r="N23" s="217"/>
      <c r="O23" s="199"/>
      <c r="P23" s="199"/>
      <c r="Q23" s="218"/>
      <c r="R23" s="218"/>
      <c r="S23" s="218"/>
      <c r="T23" s="219"/>
      <c r="U23" s="161"/>
      <c r="V23" s="161"/>
      <c r="W23" s="161"/>
    </row>
    <row r="24" ht="15.75" customHeight="1">
      <c r="A24" s="220" t="s">
        <v>196</v>
      </c>
      <c r="B24" s="221" t="s">
        <v>197</v>
      </c>
      <c r="C24" s="176"/>
      <c r="D24" s="177"/>
      <c r="E24" s="178"/>
      <c r="F24" s="222" t="s">
        <v>137</v>
      </c>
      <c r="G24" s="222" t="s">
        <v>61</v>
      </c>
      <c r="H24" s="245" t="s">
        <v>61</v>
      </c>
      <c r="I24" s="245"/>
      <c r="J24" s="222"/>
      <c r="K24" s="222"/>
      <c r="L24" s="222"/>
      <c r="M24" s="223"/>
      <c r="N24" s="223"/>
      <c r="O24" s="222"/>
      <c r="P24" s="222"/>
      <c r="Q24" s="222"/>
      <c r="R24" s="222"/>
      <c r="S24" s="222"/>
      <c r="T24" s="224"/>
      <c r="U24" s="161"/>
      <c r="V24" s="161"/>
      <c r="W24" s="161"/>
    </row>
    <row r="25" ht="15.75" customHeight="1">
      <c r="A25" s="182"/>
      <c r="B25" s="221" t="s">
        <v>198</v>
      </c>
      <c r="C25" s="176"/>
      <c r="D25" s="177"/>
      <c r="E25" s="184"/>
      <c r="F25" s="225" t="s">
        <v>199</v>
      </c>
      <c r="G25" s="225" t="s">
        <v>199</v>
      </c>
      <c r="H25" s="225" t="s">
        <v>199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6"/>
      <c r="U25" s="161"/>
      <c r="V25" s="161"/>
      <c r="W25" s="161"/>
    </row>
    <row r="26" ht="15.75" customHeight="1">
      <c r="A26" s="182"/>
      <c r="B26" s="221" t="s">
        <v>200</v>
      </c>
      <c r="C26" s="176"/>
      <c r="D26" s="177"/>
      <c r="E26" s="184"/>
      <c r="F26" s="227">
        <v>45965.0</v>
      </c>
      <c r="G26" s="227">
        <v>45965.0</v>
      </c>
      <c r="H26" s="227">
        <v>45965.0</v>
      </c>
      <c r="I26" s="246"/>
      <c r="J26" s="246"/>
      <c r="K26" s="246"/>
      <c r="L26" s="228"/>
      <c r="M26" s="228"/>
      <c r="N26" s="228"/>
      <c r="O26" s="228"/>
      <c r="P26" s="228"/>
      <c r="Q26" s="228"/>
      <c r="R26" s="228"/>
      <c r="S26" s="228"/>
      <c r="T26" s="229"/>
      <c r="U26" s="161"/>
      <c r="V26" s="161"/>
      <c r="W26" s="161"/>
    </row>
    <row r="27" ht="15.75" customHeight="1">
      <c r="A27" s="182"/>
      <c r="B27" s="230" t="s">
        <v>201</v>
      </c>
      <c r="C27" s="231"/>
      <c r="D27" s="232"/>
      <c r="E27" s="233"/>
      <c r="F27" s="217"/>
      <c r="G27" s="217"/>
      <c r="H27" s="217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5"/>
      <c r="T27" s="236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5:T25">
      <formula1>"P,F"</formula1>
    </dataValidation>
    <dataValidation type="list" allowBlank="1" showInputMessage="1" showErrorMessage="1" prompt=" - " sqref="F8:T23">
      <formula1>"O"</formula1>
    </dataValidation>
    <dataValidation type="list" allowBlank="1" showInputMessage="1" showErrorMessage="1" prompt="Click and enter a value from the list of items" sqref="F24:T24">
      <formula1>"A,B,N"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63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180</v>
      </c>
      <c r="C10" s="154"/>
      <c r="D10" s="152"/>
      <c r="E10" s="184"/>
      <c r="F10" s="188"/>
      <c r="G10" s="23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181</v>
      </c>
      <c r="C11" s="154"/>
      <c r="D11" s="152"/>
      <c r="E11" s="184"/>
      <c r="F11" s="185" t="s">
        <v>167</v>
      </c>
      <c r="G11" s="23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182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238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226</v>
      </c>
      <c r="C19" s="154"/>
      <c r="D19" s="152"/>
      <c r="E19" s="184"/>
      <c r="F19" s="188"/>
      <c r="G19" s="23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56" t="s">
        <v>195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8">
        <v>45957.0</v>
      </c>
      <c r="G23" s="228">
        <v>45957.0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K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J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100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227</v>
      </c>
      <c r="C10" s="154"/>
      <c r="D10" s="152"/>
      <c r="E10" s="184"/>
      <c r="F10" s="188"/>
      <c r="G10" s="23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228</v>
      </c>
      <c r="C11" s="154"/>
      <c r="D11" s="152"/>
      <c r="E11" s="184"/>
      <c r="F11" s="185" t="s">
        <v>167</v>
      </c>
      <c r="G11" s="23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229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238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230</v>
      </c>
      <c r="C19" s="154"/>
      <c r="D19" s="152"/>
      <c r="E19" s="184"/>
      <c r="F19" s="188"/>
      <c r="G19" s="23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56" t="s">
        <v>231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57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8">
        <v>45957.0</v>
      </c>
      <c r="G23" s="228">
        <v>45957.0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 J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G22:I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101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COUNTIF(F34:HT34,"P")</f>
        <v>4</v>
      </c>
      <c r="B5" s="165"/>
      <c r="C5" s="164">
        <f>COUNTIF(H34:HV34,"F")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COUNTIF(E33:HT33,"N")</f>
        <v>1</v>
      </c>
      <c r="M5" s="168">
        <f>COUNTIF(F33:HU33,"A")</f>
        <v>3</v>
      </c>
      <c r="N5" s="168">
        <f>COUNTIF(G33:HV33,"B")</f>
        <v>0</v>
      </c>
      <c r="O5" s="167">
        <f>COUNTA(F7:HW7)</f>
        <v>4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207</v>
      </c>
      <c r="C10" s="154"/>
      <c r="D10" s="152"/>
      <c r="E10" s="184"/>
      <c r="F10" s="188"/>
      <c r="G10" s="188"/>
      <c r="H10" s="238"/>
      <c r="I10" s="23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208</v>
      </c>
      <c r="C11" s="154"/>
      <c r="D11" s="152"/>
      <c r="E11" s="184"/>
      <c r="F11" s="185" t="s">
        <v>167</v>
      </c>
      <c r="G11" s="188"/>
      <c r="H11" s="185" t="s">
        <v>167</v>
      </c>
      <c r="I11" s="185" t="s">
        <v>167</v>
      </c>
      <c r="J11" s="185"/>
      <c r="K11" s="185"/>
      <c r="L11" s="185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83" t="s">
        <v>209</v>
      </c>
      <c r="C12" s="154"/>
      <c r="D12" s="152"/>
      <c r="E12" s="184"/>
      <c r="F12" s="188"/>
      <c r="G12" s="185" t="s">
        <v>167</v>
      </c>
      <c r="H12" s="238"/>
      <c r="I12" s="23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206" t="s">
        <v>180</v>
      </c>
      <c r="C13" s="154"/>
      <c r="D13" s="152"/>
      <c r="E13" s="184"/>
      <c r="F13" s="188"/>
      <c r="G13" s="188"/>
      <c r="H13" s="238"/>
      <c r="I13" s="23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181</v>
      </c>
      <c r="C14" s="154"/>
      <c r="D14" s="152"/>
      <c r="E14" s="184"/>
      <c r="F14" s="185" t="s">
        <v>167</v>
      </c>
      <c r="G14" s="185" t="s">
        <v>167</v>
      </c>
      <c r="H14" s="238"/>
      <c r="I14" s="212" t="s">
        <v>167</v>
      </c>
      <c r="J14" s="188"/>
      <c r="K14" s="188"/>
      <c r="L14" s="212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183" t="s">
        <v>182</v>
      </c>
      <c r="C15" s="154"/>
      <c r="D15" s="152"/>
      <c r="E15" s="249"/>
      <c r="F15" s="210"/>
      <c r="G15" s="210"/>
      <c r="H15" s="258" t="s">
        <v>167</v>
      </c>
      <c r="I15" s="243"/>
      <c r="J15" s="258"/>
      <c r="K15" s="258"/>
      <c r="L15" s="210"/>
      <c r="M15" s="210"/>
      <c r="N15" s="210"/>
      <c r="O15" s="210"/>
      <c r="P15" s="210"/>
      <c r="Q15" s="210"/>
      <c r="R15" s="210"/>
      <c r="S15" s="210"/>
      <c r="T15" s="259"/>
      <c r="U15" s="161"/>
      <c r="V15" s="161"/>
      <c r="W15" s="161"/>
    </row>
    <row r="16">
      <c r="A16" s="182"/>
      <c r="B16" s="206" t="s">
        <v>232</v>
      </c>
      <c r="C16" s="154"/>
      <c r="D16" s="152"/>
      <c r="E16" s="249"/>
      <c r="F16" s="210"/>
      <c r="G16" s="210"/>
      <c r="H16" s="243"/>
      <c r="I16" s="243"/>
      <c r="J16" s="258"/>
      <c r="K16" s="258"/>
      <c r="L16" s="210"/>
      <c r="M16" s="210"/>
      <c r="N16" s="210"/>
      <c r="O16" s="210"/>
      <c r="P16" s="210"/>
      <c r="Q16" s="210"/>
      <c r="R16" s="210"/>
      <c r="S16" s="210"/>
      <c r="T16" s="259"/>
      <c r="U16" s="161"/>
      <c r="V16" s="161"/>
      <c r="W16" s="161"/>
    </row>
    <row r="17">
      <c r="A17" s="182"/>
      <c r="B17" s="183" t="s">
        <v>233</v>
      </c>
      <c r="C17" s="154"/>
      <c r="D17" s="152"/>
      <c r="E17" s="249"/>
      <c r="F17" s="185" t="s">
        <v>167</v>
      </c>
      <c r="G17" s="185" t="s">
        <v>167</v>
      </c>
      <c r="H17" s="185" t="s">
        <v>167</v>
      </c>
      <c r="I17" s="243"/>
      <c r="J17" s="185"/>
      <c r="K17" s="185"/>
      <c r="L17" s="210"/>
      <c r="M17" s="210"/>
      <c r="N17" s="210"/>
      <c r="O17" s="210"/>
      <c r="P17" s="210"/>
      <c r="Q17" s="210"/>
      <c r="R17" s="210"/>
      <c r="S17" s="210"/>
      <c r="T17" s="259"/>
      <c r="U17" s="161"/>
      <c r="V17" s="161"/>
      <c r="W17" s="161"/>
    </row>
    <row r="18" ht="15.75" customHeight="1">
      <c r="A18" s="182"/>
      <c r="B18" s="183" t="s">
        <v>170</v>
      </c>
      <c r="C18" s="154"/>
      <c r="D18" s="152"/>
      <c r="E18" s="249"/>
      <c r="F18" s="210"/>
      <c r="G18" s="210"/>
      <c r="H18" s="243"/>
      <c r="I18" s="185" t="s">
        <v>167</v>
      </c>
      <c r="J18" s="258"/>
      <c r="K18" s="258"/>
      <c r="L18" s="185"/>
      <c r="M18" s="210"/>
      <c r="N18" s="210"/>
      <c r="O18" s="210"/>
      <c r="P18" s="210"/>
      <c r="Q18" s="210"/>
      <c r="R18" s="210"/>
      <c r="S18" s="210"/>
      <c r="T18" s="259"/>
      <c r="U18" s="161"/>
      <c r="V18" s="161"/>
      <c r="W18" s="161"/>
    </row>
    <row r="19" ht="15.75" customHeight="1">
      <c r="A19" s="182"/>
      <c r="B19" s="206" t="s">
        <v>234</v>
      </c>
      <c r="C19" s="154"/>
      <c r="D19" s="152"/>
      <c r="E19" s="249"/>
      <c r="F19" s="210"/>
      <c r="G19" s="210"/>
      <c r="H19" s="243"/>
      <c r="I19" s="243"/>
      <c r="J19" s="258"/>
      <c r="K19" s="258"/>
      <c r="L19" s="210"/>
      <c r="M19" s="210"/>
      <c r="N19" s="210"/>
      <c r="O19" s="210"/>
      <c r="P19" s="210"/>
      <c r="Q19" s="210"/>
      <c r="R19" s="210"/>
      <c r="S19" s="210"/>
      <c r="T19" s="259"/>
      <c r="U19" s="161"/>
      <c r="V19" s="161"/>
      <c r="W19" s="161"/>
    </row>
    <row r="20" ht="15.75" customHeight="1">
      <c r="A20" s="182"/>
      <c r="B20" s="183" t="s">
        <v>235</v>
      </c>
      <c r="C20" s="154"/>
      <c r="D20" s="152"/>
      <c r="E20" s="249"/>
      <c r="F20" s="185" t="s">
        <v>167</v>
      </c>
      <c r="G20" s="185" t="s">
        <v>167</v>
      </c>
      <c r="H20" s="185" t="s">
        <v>167</v>
      </c>
      <c r="I20" s="243"/>
      <c r="J20" s="185"/>
      <c r="K20" s="185"/>
      <c r="L20" s="210"/>
      <c r="M20" s="210"/>
      <c r="N20" s="210"/>
      <c r="O20" s="210"/>
      <c r="P20" s="210"/>
      <c r="Q20" s="210"/>
      <c r="R20" s="210"/>
      <c r="S20" s="210"/>
      <c r="T20" s="259"/>
      <c r="U20" s="161"/>
      <c r="V20" s="161"/>
      <c r="W20" s="161"/>
    </row>
    <row r="21" ht="15.75" customHeight="1">
      <c r="A21" s="192"/>
      <c r="B21" s="193" t="s">
        <v>170</v>
      </c>
      <c r="C21" s="194"/>
      <c r="D21" s="195"/>
      <c r="E21" s="196"/>
      <c r="F21" s="197"/>
      <c r="G21" s="197"/>
      <c r="H21" s="239"/>
      <c r="I21" s="239"/>
      <c r="J21" s="198"/>
      <c r="K21" s="198"/>
      <c r="L21" s="197"/>
      <c r="M21" s="197"/>
      <c r="N21" s="197"/>
      <c r="O21" s="197"/>
      <c r="P21" s="197"/>
      <c r="Q21" s="197"/>
      <c r="R21" s="197"/>
      <c r="S21" s="197"/>
      <c r="T21" s="200"/>
      <c r="U21" s="161"/>
      <c r="V21" s="161"/>
      <c r="W21" s="161"/>
    </row>
    <row r="22" ht="15.75" customHeight="1">
      <c r="A22" s="174" t="s">
        <v>183</v>
      </c>
      <c r="B22" s="201" t="s">
        <v>184</v>
      </c>
      <c r="D22" s="202"/>
      <c r="E22" s="203"/>
      <c r="F22" s="179"/>
      <c r="G22" s="179"/>
      <c r="H22" s="240"/>
      <c r="I22" s="240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81"/>
      <c r="U22" s="161"/>
      <c r="V22" s="161"/>
      <c r="W22" s="161"/>
    </row>
    <row r="23" ht="15.75" customHeight="1">
      <c r="A23" s="182"/>
      <c r="B23" s="204" t="b">
        <v>1</v>
      </c>
      <c r="C23" s="154"/>
      <c r="D23" s="152"/>
      <c r="E23" s="184"/>
      <c r="F23" s="185" t="s">
        <v>167</v>
      </c>
      <c r="G23" s="188"/>
      <c r="H23" s="238"/>
      <c r="I23" s="23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9"/>
      <c r="U23" s="161"/>
      <c r="V23" s="161"/>
      <c r="W23" s="161"/>
    </row>
    <row r="24" ht="15.75" customHeight="1">
      <c r="A24" s="182"/>
      <c r="B24" s="204" t="b">
        <v>0</v>
      </c>
      <c r="C24" s="154"/>
      <c r="D24" s="152"/>
      <c r="E24" s="184"/>
      <c r="F24" s="188"/>
      <c r="G24" s="188"/>
      <c r="H24" s="185" t="s">
        <v>167</v>
      </c>
      <c r="I24" s="238"/>
      <c r="J24" s="185"/>
      <c r="K24" s="185"/>
      <c r="L24" s="185"/>
      <c r="M24" s="185"/>
      <c r="N24" s="188"/>
      <c r="O24" s="188"/>
      <c r="P24" s="185"/>
      <c r="Q24" s="185"/>
      <c r="R24" s="185"/>
      <c r="S24" s="185"/>
      <c r="T24" s="186"/>
      <c r="U24" s="161"/>
      <c r="V24" s="161"/>
      <c r="W24" s="161"/>
    </row>
    <row r="25" ht="15.75" customHeight="1">
      <c r="A25" s="182"/>
      <c r="B25" s="206" t="s">
        <v>185</v>
      </c>
      <c r="C25" s="154"/>
      <c r="D25" s="152"/>
      <c r="E25" s="207"/>
      <c r="F25" s="188"/>
      <c r="G25" s="188"/>
      <c r="H25" s="238"/>
      <c r="I25" s="23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9"/>
      <c r="U25" s="161"/>
      <c r="V25" s="161"/>
      <c r="W25" s="161"/>
    </row>
    <row r="26" ht="15.75" customHeight="1">
      <c r="A26" s="182"/>
      <c r="B26" s="183" t="s">
        <v>221</v>
      </c>
      <c r="C26" s="154"/>
      <c r="D26" s="152"/>
      <c r="E26" s="207"/>
      <c r="F26" s="188"/>
      <c r="G26" s="185" t="s">
        <v>167</v>
      </c>
      <c r="H26" s="238"/>
      <c r="I26" s="243"/>
      <c r="J26" s="185"/>
      <c r="K26" s="185"/>
      <c r="L26" s="212"/>
      <c r="M26" s="188"/>
      <c r="N26" s="185"/>
      <c r="O26" s="185"/>
      <c r="P26" s="188"/>
      <c r="Q26" s="188"/>
      <c r="R26" s="188"/>
      <c r="S26" s="188"/>
      <c r="T26" s="251"/>
      <c r="U26" s="161"/>
      <c r="V26" s="161"/>
      <c r="W26" s="161"/>
    </row>
    <row r="27" ht="15.75" customHeight="1">
      <c r="A27" s="182"/>
      <c r="B27" s="183" t="s">
        <v>186</v>
      </c>
      <c r="C27" s="154"/>
      <c r="D27" s="152"/>
      <c r="E27" s="207"/>
      <c r="F27" s="188"/>
      <c r="G27" s="185"/>
      <c r="H27" s="238"/>
      <c r="I27" s="212" t="s">
        <v>167</v>
      </c>
      <c r="J27" s="185"/>
      <c r="K27" s="185"/>
      <c r="L27" s="212"/>
      <c r="M27" s="188"/>
      <c r="N27" s="185"/>
      <c r="O27" s="185"/>
      <c r="P27" s="188"/>
      <c r="Q27" s="188"/>
      <c r="R27" s="188"/>
      <c r="S27" s="188"/>
      <c r="T27" s="208"/>
      <c r="U27" s="161"/>
      <c r="V27" s="161"/>
      <c r="W27" s="161"/>
    </row>
    <row r="28" ht="15.75" customHeight="1">
      <c r="A28" s="182"/>
      <c r="B28" s="206" t="s">
        <v>187</v>
      </c>
      <c r="C28" s="154"/>
      <c r="D28" s="152"/>
      <c r="E28" s="184"/>
      <c r="F28" s="209"/>
      <c r="G28" s="209"/>
      <c r="H28" s="242"/>
      <c r="I28" s="242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189"/>
      <c r="U28" s="161"/>
      <c r="V28" s="161"/>
      <c r="W28" s="161"/>
    </row>
    <row r="29" ht="15.75" customHeight="1">
      <c r="A29" s="182"/>
      <c r="B29" s="183" t="s">
        <v>222</v>
      </c>
      <c r="C29" s="154"/>
      <c r="D29" s="152"/>
      <c r="E29" s="184"/>
      <c r="F29" s="210"/>
      <c r="G29" s="212" t="s">
        <v>167</v>
      </c>
      <c r="H29" s="243"/>
      <c r="I29" s="243"/>
      <c r="J29" s="212"/>
      <c r="K29" s="210"/>
      <c r="L29" s="210"/>
      <c r="M29" s="210"/>
      <c r="N29" s="212"/>
      <c r="O29" s="212"/>
      <c r="P29" s="210"/>
      <c r="Q29" s="210"/>
      <c r="R29" s="210"/>
      <c r="S29" s="210"/>
      <c r="T29" s="189"/>
      <c r="U29" s="161"/>
      <c r="V29" s="161"/>
      <c r="W29" s="161"/>
    </row>
    <row r="30" ht="15.75" customHeight="1">
      <c r="A30" s="182"/>
      <c r="B30" s="183" t="s">
        <v>226</v>
      </c>
      <c r="C30" s="154"/>
      <c r="D30" s="152"/>
      <c r="E30" s="184"/>
      <c r="F30" s="188"/>
      <c r="G30" s="185"/>
      <c r="H30" s="238"/>
      <c r="I30" s="238"/>
      <c r="J30" s="185"/>
      <c r="K30" s="188"/>
      <c r="L30" s="188"/>
      <c r="M30" s="188"/>
      <c r="N30" s="185"/>
      <c r="O30" s="185"/>
      <c r="P30" s="188"/>
      <c r="Q30" s="188"/>
      <c r="R30" s="188"/>
      <c r="S30" s="188"/>
      <c r="T30" s="189"/>
      <c r="U30" s="161"/>
      <c r="V30" s="161"/>
      <c r="W30" s="161"/>
    </row>
    <row r="31" ht="15.75" customHeight="1">
      <c r="A31" s="182"/>
      <c r="B31" s="183" t="s">
        <v>236</v>
      </c>
      <c r="C31" s="154"/>
      <c r="D31" s="152"/>
      <c r="E31" s="249"/>
      <c r="F31" s="210"/>
      <c r="G31" s="212"/>
      <c r="H31" s="243"/>
      <c r="I31" s="212" t="s">
        <v>167</v>
      </c>
      <c r="J31" s="212"/>
      <c r="K31" s="210"/>
      <c r="L31" s="212"/>
      <c r="M31" s="210"/>
      <c r="N31" s="212"/>
      <c r="O31" s="212"/>
      <c r="P31" s="210"/>
      <c r="Q31" s="210"/>
      <c r="R31" s="210"/>
      <c r="S31" s="210"/>
      <c r="T31" s="250"/>
      <c r="U31" s="161"/>
      <c r="V31" s="161"/>
      <c r="W31" s="161"/>
    </row>
    <row r="32" ht="15.75" customHeight="1">
      <c r="A32" s="182"/>
      <c r="B32" s="256" t="s">
        <v>195</v>
      </c>
      <c r="C32" s="214"/>
      <c r="D32" s="215"/>
      <c r="E32" s="216"/>
      <c r="F32" s="217"/>
      <c r="G32" s="217"/>
      <c r="H32" s="198" t="s">
        <v>167</v>
      </c>
      <c r="I32" s="244"/>
      <c r="J32" s="198"/>
      <c r="K32" s="198"/>
      <c r="L32" s="217"/>
      <c r="M32" s="217"/>
      <c r="N32" s="217"/>
      <c r="O32" s="217"/>
      <c r="P32" s="218"/>
      <c r="Q32" s="218"/>
      <c r="R32" s="218"/>
      <c r="S32" s="218"/>
      <c r="T32" s="219"/>
      <c r="U32" s="161"/>
      <c r="V32" s="161"/>
      <c r="W32" s="161"/>
    </row>
    <row r="33" ht="15.75" customHeight="1">
      <c r="A33" s="220" t="s">
        <v>196</v>
      </c>
      <c r="B33" s="221" t="s">
        <v>197</v>
      </c>
      <c r="C33" s="176"/>
      <c r="D33" s="177"/>
      <c r="E33" s="178"/>
      <c r="F33" s="222" t="s">
        <v>137</v>
      </c>
      <c r="G33" s="222" t="s">
        <v>61</v>
      </c>
      <c r="H33" s="222" t="s">
        <v>61</v>
      </c>
      <c r="I33" s="222" t="s">
        <v>61</v>
      </c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4"/>
      <c r="U33" s="161"/>
      <c r="V33" s="161"/>
      <c r="W33" s="161"/>
    </row>
    <row r="34" ht="15.75" customHeight="1">
      <c r="A34" s="182"/>
      <c r="B34" s="221" t="s">
        <v>198</v>
      </c>
      <c r="C34" s="176"/>
      <c r="D34" s="177"/>
      <c r="E34" s="184"/>
      <c r="F34" s="225" t="s">
        <v>199</v>
      </c>
      <c r="G34" s="225" t="s">
        <v>199</v>
      </c>
      <c r="H34" s="225" t="s">
        <v>199</v>
      </c>
      <c r="I34" s="225" t="s">
        <v>199</v>
      </c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6"/>
      <c r="U34" s="161"/>
      <c r="V34" s="161"/>
      <c r="W34" s="161"/>
    </row>
    <row r="35" ht="15.75" customHeight="1">
      <c r="A35" s="182"/>
      <c r="B35" s="221" t="s">
        <v>200</v>
      </c>
      <c r="C35" s="176"/>
      <c r="D35" s="177"/>
      <c r="E35" s="184"/>
      <c r="F35" s="228">
        <v>45957.0</v>
      </c>
      <c r="G35" s="228">
        <v>45957.0</v>
      </c>
      <c r="H35" s="228">
        <v>45957.0</v>
      </c>
      <c r="I35" s="228">
        <v>45957.0</v>
      </c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9"/>
      <c r="U35" s="161"/>
      <c r="V35" s="161"/>
      <c r="W35" s="161"/>
    </row>
    <row r="36" ht="15.75" customHeight="1">
      <c r="A36" s="182"/>
      <c r="B36" s="230" t="s">
        <v>201</v>
      </c>
      <c r="C36" s="231"/>
      <c r="D36" s="232"/>
      <c r="E36" s="233"/>
      <c r="F36" s="217"/>
      <c r="G36" s="217"/>
      <c r="H36" s="217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5"/>
      <c r="T36" s="236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8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4:I34 M34:T34">
      <formula1>"P,F"</formula1>
    </dataValidation>
    <dataValidation type="list" allowBlank="1" showInputMessage="1" showErrorMessage="1" prompt=" - " sqref="F8:T32">
      <formula1>"O"</formula1>
    </dataValidation>
    <dataValidation type="list" allowBlank="1" showInputMessage="1" showErrorMessage="1" prompt="Nhấp và nhập một giá trị từ danh sách các mục" sqref="J34:L34">
      <formula1>"P,F,N/A"</formula1>
    </dataValidation>
    <dataValidation type="list" allowBlank="1" showInputMessage="1" showErrorMessage="1" prompt="Click and enter a value from the list of items" sqref="F33:T33">
      <formula1>"A,B,N"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237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COUNTIF(F30:HT30,"P")</f>
        <v>6</v>
      </c>
      <c r="B5" s="165"/>
      <c r="C5" s="164">
        <f>COUNTIF(H30:HV30,"F")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COUNTIF(E29:HT29,"N")</f>
        <v>1</v>
      </c>
      <c r="M5" s="168">
        <f>COUNTIF(F29:HU29,"A")</f>
        <v>5</v>
      </c>
      <c r="N5" s="168">
        <f>COUNTIF(G29:HV29,"B")</f>
        <v>0</v>
      </c>
      <c r="O5" s="167">
        <f>COUNTA(F7:HW7)</f>
        <v>6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207</v>
      </c>
      <c r="C10" s="154"/>
      <c r="D10" s="152"/>
      <c r="E10" s="184"/>
      <c r="F10" s="188"/>
      <c r="G10" s="188"/>
      <c r="H10" s="238"/>
      <c r="I10" s="238"/>
      <c r="J10" s="238"/>
      <c r="K10" s="23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208</v>
      </c>
      <c r="C11" s="154"/>
      <c r="D11" s="152"/>
      <c r="E11" s="184"/>
      <c r="F11" s="185" t="s">
        <v>167</v>
      </c>
      <c r="G11" s="188"/>
      <c r="H11" s="185" t="s">
        <v>167</v>
      </c>
      <c r="I11" s="185" t="s">
        <v>167</v>
      </c>
      <c r="J11" s="185" t="s">
        <v>167</v>
      </c>
      <c r="K11" s="185" t="s">
        <v>167</v>
      </c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83" t="s">
        <v>209</v>
      </c>
      <c r="C12" s="154"/>
      <c r="D12" s="152"/>
      <c r="E12" s="184"/>
      <c r="F12" s="188"/>
      <c r="G12" s="185" t="s">
        <v>167</v>
      </c>
      <c r="H12" s="238"/>
      <c r="I12" s="238"/>
      <c r="J12" s="238"/>
      <c r="K12" s="238"/>
      <c r="L12" s="18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206" t="s">
        <v>238</v>
      </c>
      <c r="C13" s="154"/>
      <c r="D13" s="152"/>
      <c r="E13" s="184"/>
      <c r="F13" s="188"/>
      <c r="G13" s="188"/>
      <c r="H13" s="238"/>
      <c r="I13" s="238"/>
      <c r="J13" s="238"/>
      <c r="K13" s="23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228</v>
      </c>
      <c r="C14" s="154"/>
      <c r="D14" s="152"/>
      <c r="E14" s="184"/>
      <c r="F14" s="185" t="s">
        <v>167</v>
      </c>
      <c r="G14" s="185" t="s">
        <v>167</v>
      </c>
      <c r="H14" s="238"/>
      <c r="I14" s="238"/>
      <c r="J14" s="238"/>
      <c r="K14" s="238"/>
      <c r="L14" s="212"/>
      <c r="M14" s="212"/>
      <c r="N14" s="212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183" t="s">
        <v>170</v>
      </c>
      <c r="C15" s="154"/>
      <c r="D15" s="152"/>
      <c r="E15" s="184"/>
      <c r="F15" s="188"/>
      <c r="G15" s="185"/>
      <c r="H15" s="185" t="s">
        <v>167</v>
      </c>
      <c r="I15" s="238"/>
      <c r="J15" s="238"/>
      <c r="K15" s="238"/>
      <c r="L15" s="185"/>
      <c r="M15" s="188"/>
      <c r="N15" s="188"/>
      <c r="O15" s="188"/>
      <c r="P15" s="188"/>
      <c r="Q15" s="188"/>
      <c r="R15" s="188"/>
      <c r="S15" s="188"/>
      <c r="T15" s="189"/>
      <c r="U15" s="161"/>
      <c r="V15" s="161"/>
      <c r="W15" s="161"/>
    </row>
    <row r="16">
      <c r="A16" s="182"/>
      <c r="B16" s="183" t="s">
        <v>217</v>
      </c>
      <c r="C16" s="154"/>
      <c r="D16" s="152"/>
      <c r="E16" s="184"/>
      <c r="F16" s="188"/>
      <c r="G16" s="188"/>
      <c r="H16" s="238"/>
      <c r="I16" s="185" t="s">
        <v>167</v>
      </c>
      <c r="J16" s="238"/>
      <c r="K16" s="238"/>
      <c r="L16" s="188"/>
      <c r="M16" s="185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239</v>
      </c>
      <c r="C17" s="154"/>
      <c r="D17" s="152"/>
      <c r="E17" s="249"/>
      <c r="F17" s="210"/>
      <c r="G17" s="210"/>
      <c r="H17" s="243"/>
      <c r="I17" s="243"/>
      <c r="J17" s="258" t="s">
        <v>167</v>
      </c>
      <c r="K17" s="243"/>
      <c r="L17" s="210"/>
      <c r="M17" s="210"/>
      <c r="N17" s="210"/>
      <c r="O17" s="210"/>
      <c r="P17" s="210"/>
      <c r="Q17" s="210"/>
      <c r="R17" s="210"/>
      <c r="S17" s="210"/>
      <c r="T17" s="259"/>
      <c r="U17" s="161"/>
      <c r="V17" s="161"/>
      <c r="W17" s="161"/>
    </row>
    <row r="18">
      <c r="A18" s="192"/>
      <c r="B18" s="193" t="s">
        <v>229</v>
      </c>
      <c r="C18" s="194"/>
      <c r="D18" s="195"/>
      <c r="E18" s="196"/>
      <c r="F18" s="197"/>
      <c r="G18" s="197"/>
      <c r="H18" s="239"/>
      <c r="I18" s="239"/>
      <c r="J18" s="239"/>
      <c r="K18" s="198" t="s">
        <v>167</v>
      </c>
      <c r="L18" s="197"/>
      <c r="M18" s="197"/>
      <c r="N18" s="197"/>
      <c r="O18" s="197"/>
      <c r="P18" s="197"/>
      <c r="Q18" s="197"/>
      <c r="R18" s="197"/>
      <c r="S18" s="197"/>
      <c r="T18" s="200"/>
      <c r="U18" s="161"/>
      <c r="V18" s="161"/>
      <c r="W18" s="161"/>
    </row>
    <row r="19">
      <c r="A19" s="174" t="s">
        <v>183</v>
      </c>
      <c r="B19" s="201" t="s">
        <v>184</v>
      </c>
      <c r="D19" s="202"/>
      <c r="E19" s="203"/>
      <c r="F19" s="179"/>
      <c r="G19" s="179"/>
      <c r="H19" s="240"/>
      <c r="I19" s="240"/>
      <c r="J19" s="240"/>
      <c r="K19" s="240"/>
      <c r="L19" s="179"/>
      <c r="M19" s="179"/>
      <c r="N19" s="179"/>
      <c r="O19" s="179"/>
      <c r="P19" s="179"/>
      <c r="Q19" s="179"/>
      <c r="R19" s="179"/>
      <c r="S19" s="179"/>
      <c r="T19" s="181"/>
      <c r="U19" s="161"/>
      <c r="V19" s="161"/>
      <c r="W19" s="161"/>
    </row>
    <row r="20">
      <c r="A20" s="182"/>
      <c r="B20" s="204" t="b">
        <v>1</v>
      </c>
      <c r="C20" s="154"/>
      <c r="D20" s="152"/>
      <c r="E20" s="184"/>
      <c r="F20" s="185" t="s">
        <v>167</v>
      </c>
      <c r="G20" s="188"/>
      <c r="H20" s="238"/>
      <c r="I20" s="238"/>
      <c r="J20" s="238"/>
      <c r="K20" s="238"/>
      <c r="L20" s="188"/>
      <c r="M20" s="188"/>
      <c r="N20" s="188"/>
      <c r="O20" s="188"/>
      <c r="P20" s="188"/>
      <c r="Q20" s="188"/>
      <c r="R20" s="188"/>
      <c r="S20" s="188"/>
      <c r="T20" s="189"/>
      <c r="U20" s="161"/>
      <c r="V20" s="161"/>
      <c r="W20" s="161"/>
    </row>
    <row r="21" ht="15.75" customHeight="1">
      <c r="A21" s="182"/>
      <c r="B21" s="204" t="b">
        <v>0</v>
      </c>
      <c r="C21" s="154"/>
      <c r="D21" s="152"/>
      <c r="E21" s="184"/>
      <c r="F21" s="188"/>
      <c r="G21" s="188"/>
      <c r="H21" s="238"/>
      <c r="I21" s="238"/>
      <c r="J21" s="238"/>
      <c r="K21" s="185" t="s">
        <v>167</v>
      </c>
      <c r="L21" s="185"/>
      <c r="M21" s="185"/>
      <c r="N21" s="188"/>
      <c r="O21" s="188"/>
      <c r="P21" s="185"/>
      <c r="Q21" s="185"/>
      <c r="R21" s="185"/>
      <c r="S21" s="185"/>
      <c r="T21" s="186"/>
      <c r="U21" s="161"/>
      <c r="V21" s="161"/>
      <c r="W21" s="161"/>
    </row>
    <row r="22" ht="15.75" customHeight="1">
      <c r="A22" s="182"/>
      <c r="B22" s="206" t="s">
        <v>185</v>
      </c>
      <c r="C22" s="154"/>
      <c r="D22" s="152"/>
      <c r="E22" s="207"/>
      <c r="F22" s="188"/>
      <c r="G22" s="188"/>
      <c r="H22" s="238"/>
      <c r="I22" s="238"/>
      <c r="J22" s="238"/>
      <c r="K22" s="238"/>
      <c r="L22" s="188"/>
      <c r="M22" s="188"/>
      <c r="N22" s="188"/>
      <c r="O22" s="188"/>
      <c r="P22" s="188"/>
      <c r="Q22" s="188"/>
      <c r="R22" s="188"/>
      <c r="S22" s="188"/>
      <c r="T22" s="189"/>
      <c r="U22" s="161"/>
      <c r="V22" s="161"/>
      <c r="W22" s="161"/>
    </row>
    <row r="23" ht="15.75" customHeight="1">
      <c r="A23" s="182"/>
      <c r="B23" s="183" t="s">
        <v>221</v>
      </c>
      <c r="C23" s="154"/>
      <c r="D23" s="152"/>
      <c r="E23" s="207"/>
      <c r="F23" s="188"/>
      <c r="G23" s="185" t="s">
        <v>167</v>
      </c>
      <c r="H23" s="238"/>
      <c r="I23" s="238"/>
      <c r="J23" s="238"/>
      <c r="K23" s="238"/>
      <c r="L23" s="212"/>
      <c r="M23" s="212"/>
      <c r="N23" s="185"/>
      <c r="O23" s="185"/>
      <c r="P23" s="188"/>
      <c r="Q23" s="188"/>
      <c r="R23" s="188"/>
      <c r="S23" s="188"/>
      <c r="T23" s="251"/>
      <c r="U23" s="161"/>
      <c r="V23" s="161"/>
      <c r="W23" s="161"/>
    </row>
    <row r="24" ht="15.75" customHeight="1">
      <c r="A24" s="182"/>
      <c r="B24" s="183" t="s">
        <v>186</v>
      </c>
      <c r="C24" s="154"/>
      <c r="D24" s="152"/>
      <c r="E24" s="207"/>
      <c r="F24" s="188"/>
      <c r="G24" s="185"/>
      <c r="H24" s="185" t="s">
        <v>167</v>
      </c>
      <c r="I24" s="185" t="s">
        <v>167</v>
      </c>
      <c r="J24" s="185" t="s">
        <v>167</v>
      </c>
      <c r="K24" s="238"/>
      <c r="L24" s="212"/>
      <c r="M24" s="212"/>
      <c r="N24" s="185"/>
      <c r="O24" s="185"/>
      <c r="P24" s="188"/>
      <c r="Q24" s="188"/>
      <c r="R24" s="188"/>
      <c r="S24" s="188"/>
      <c r="T24" s="208"/>
      <c r="U24" s="161"/>
      <c r="V24" s="161"/>
      <c r="W24" s="161"/>
    </row>
    <row r="25" ht="15.75" customHeight="1">
      <c r="A25" s="182"/>
      <c r="B25" s="206" t="s">
        <v>187</v>
      </c>
      <c r="C25" s="154"/>
      <c r="D25" s="152"/>
      <c r="E25" s="184"/>
      <c r="F25" s="209"/>
      <c r="G25" s="209"/>
      <c r="H25" s="242"/>
      <c r="I25" s="242"/>
      <c r="J25" s="242"/>
      <c r="K25" s="242"/>
      <c r="L25" s="209"/>
      <c r="M25" s="209"/>
      <c r="N25" s="209"/>
      <c r="O25" s="209"/>
      <c r="P25" s="209"/>
      <c r="Q25" s="209"/>
      <c r="R25" s="209"/>
      <c r="S25" s="209"/>
      <c r="T25" s="189"/>
      <c r="U25" s="161"/>
      <c r="V25" s="161"/>
      <c r="W25" s="161"/>
    </row>
    <row r="26" ht="15.75" customHeight="1">
      <c r="A26" s="182"/>
      <c r="B26" s="183" t="s">
        <v>222</v>
      </c>
      <c r="C26" s="154"/>
      <c r="D26" s="152"/>
      <c r="E26" s="184"/>
      <c r="F26" s="210"/>
      <c r="G26" s="212" t="s">
        <v>167</v>
      </c>
      <c r="H26" s="243"/>
      <c r="I26" s="243"/>
      <c r="J26" s="243"/>
      <c r="K26" s="243"/>
      <c r="L26" s="210"/>
      <c r="M26" s="210"/>
      <c r="N26" s="212"/>
      <c r="O26" s="212"/>
      <c r="P26" s="210"/>
      <c r="Q26" s="210"/>
      <c r="R26" s="210"/>
      <c r="S26" s="210"/>
      <c r="T26" s="189"/>
      <c r="U26" s="161"/>
      <c r="V26" s="161"/>
      <c r="W26" s="161"/>
    </row>
    <row r="27" ht="15.75" customHeight="1">
      <c r="A27" s="182"/>
      <c r="B27" s="183" t="s">
        <v>240</v>
      </c>
      <c r="C27" s="154"/>
      <c r="D27" s="152"/>
      <c r="E27" s="184"/>
      <c r="F27" s="188"/>
      <c r="G27" s="185"/>
      <c r="H27" s="185" t="s">
        <v>167</v>
      </c>
      <c r="I27" s="185" t="s">
        <v>167</v>
      </c>
      <c r="J27" s="185" t="s">
        <v>167</v>
      </c>
      <c r="K27" s="238"/>
      <c r="L27" s="188"/>
      <c r="M27" s="188"/>
      <c r="N27" s="185"/>
      <c r="O27" s="185"/>
      <c r="P27" s="188"/>
      <c r="Q27" s="188"/>
      <c r="R27" s="188"/>
      <c r="S27" s="188"/>
      <c r="T27" s="189"/>
      <c r="U27" s="161"/>
      <c r="V27" s="161"/>
      <c r="W27" s="161"/>
    </row>
    <row r="28" ht="15.75" customHeight="1">
      <c r="A28" s="182"/>
      <c r="B28" s="256" t="s">
        <v>241</v>
      </c>
      <c r="C28" s="214"/>
      <c r="D28" s="215"/>
      <c r="E28" s="216"/>
      <c r="F28" s="217"/>
      <c r="G28" s="217"/>
      <c r="H28" s="244"/>
      <c r="I28" s="244"/>
      <c r="J28" s="239"/>
      <c r="K28" s="198" t="s">
        <v>167</v>
      </c>
      <c r="L28" s="217"/>
      <c r="M28" s="217"/>
      <c r="N28" s="198"/>
      <c r="O28" s="217"/>
      <c r="P28" s="218"/>
      <c r="Q28" s="218"/>
      <c r="R28" s="218"/>
      <c r="S28" s="218"/>
      <c r="T28" s="219"/>
      <c r="U28" s="161"/>
      <c r="V28" s="161"/>
      <c r="W28" s="161"/>
    </row>
    <row r="29" ht="15.75" customHeight="1">
      <c r="A29" s="220" t="s">
        <v>196</v>
      </c>
      <c r="B29" s="221" t="s">
        <v>197</v>
      </c>
      <c r="C29" s="176"/>
      <c r="D29" s="177"/>
      <c r="E29" s="178"/>
      <c r="F29" s="222" t="s">
        <v>137</v>
      </c>
      <c r="G29" s="222" t="s">
        <v>61</v>
      </c>
      <c r="H29" s="222" t="s">
        <v>61</v>
      </c>
      <c r="I29" s="222" t="s">
        <v>61</v>
      </c>
      <c r="J29" s="222" t="s">
        <v>61</v>
      </c>
      <c r="K29" s="222" t="s">
        <v>61</v>
      </c>
      <c r="L29" s="222"/>
      <c r="M29" s="222"/>
      <c r="N29" s="222"/>
      <c r="O29" s="222"/>
      <c r="P29" s="222"/>
      <c r="Q29" s="222"/>
      <c r="R29" s="222"/>
      <c r="S29" s="222"/>
      <c r="T29" s="224"/>
      <c r="U29" s="161"/>
      <c r="V29" s="161"/>
      <c r="W29" s="161"/>
    </row>
    <row r="30" ht="15.75" customHeight="1">
      <c r="A30" s="182"/>
      <c r="B30" s="221" t="s">
        <v>198</v>
      </c>
      <c r="C30" s="176"/>
      <c r="D30" s="177"/>
      <c r="E30" s="184"/>
      <c r="F30" s="225" t="s">
        <v>199</v>
      </c>
      <c r="G30" s="225" t="s">
        <v>199</v>
      </c>
      <c r="H30" s="225" t="s">
        <v>199</v>
      </c>
      <c r="I30" s="225" t="s">
        <v>199</v>
      </c>
      <c r="J30" s="225" t="s">
        <v>199</v>
      </c>
      <c r="K30" s="225" t="s">
        <v>199</v>
      </c>
      <c r="L30" s="225"/>
      <c r="M30" s="225"/>
      <c r="N30" s="225"/>
      <c r="O30" s="225"/>
      <c r="P30" s="225"/>
      <c r="Q30" s="225"/>
      <c r="R30" s="225"/>
      <c r="S30" s="225"/>
      <c r="T30" s="226"/>
      <c r="U30" s="161"/>
      <c r="V30" s="161"/>
      <c r="W30" s="161"/>
    </row>
    <row r="31" ht="15.75" customHeight="1">
      <c r="A31" s="182"/>
      <c r="B31" s="221" t="s">
        <v>200</v>
      </c>
      <c r="C31" s="176"/>
      <c r="D31" s="177"/>
      <c r="E31" s="184"/>
      <c r="F31" s="228">
        <v>45958.0</v>
      </c>
      <c r="G31" s="228">
        <v>45958.0</v>
      </c>
      <c r="H31" s="228">
        <v>45958.0</v>
      </c>
      <c r="I31" s="228">
        <v>45958.0</v>
      </c>
      <c r="J31" s="228">
        <v>45958.0</v>
      </c>
      <c r="K31" s="228">
        <v>45958.0</v>
      </c>
      <c r="L31" s="228"/>
      <c r="M31" s="228"/>
      <c r="N31" s="228"/>
      <c r="O31" s="228"/>
      <c r="P31" s="228"/>
      <c r="Q31" s="228"/>
      <c r="R31" s="228"/>
      <c r="S31" s="228"/>
      <c r="T31" s="229"/>
      <c r="U31" s="161"/>
      <c r="V31" s="161"/>
      <c r="W31" s="161"/>
    </row>
    <row r="32" ht="15.75" customHeight="1">
      <c r="A32" s="182"/>
      <c r="B32" s="230" t="s">
        <v>201</v>
      </c>
      <c r="C32" s="231"/>
      <c r="D32" s="232"/>
      <c r="E32" s="233"/>
      <c r="F32" s="217"/>
      <c r="G32" s="217"/>
      <c r="H32" s="217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5"/>
      <c r="T32" s="236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28:D28"/>
    <mergeCell ref="B29:D29"/>
    <mergeCell ref="B30:D30"/>
    <mergeCell ref="B31:D31"/>
    <mergeCell ref="B32:D32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30:T30">
      <formula1>"P,F"</formula1>
    </dataValidation>
    <dataValidation type="list" allowBlank="1" showInputMessage="1" showErrorMessage="1" prompt=" - " sqref="F8:T28">
      <formula1>"O"</formula1>
    </dataValidation>
    <dataValidation type="list" allowBlank="1" showInputMessage="1" showErrorMessage="1" prompt="Click and enter a value from the list of items" sqref="F29:T29">
      <formula1>"A,B,N"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237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COUNTIF(F33:HT33,"P")</f>
        <v>7</v>
      </c>
      <c r="B5" s="165"/>
      <c r="C5" s="164">
        <f>COUNTIF(H33:HV33,"F")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COUNTIF(E32:HT32,"N")</f>
        <v>1</v>
      </c>
      <c r="M5" s="168">
        <f>COUNTIF(F32:HU32,"A")</f>
        <v>6</v>
      </c>
      <c r="N5" s="168">
        <f>COUNTIF(G32:HV32,"B")</f>
        <v>0</v>
      </c>
      <c r="O5" s="167">
        <f>COUNTA(F7:HW7)</f>
        <v>7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3" t="s">
        <v>242</v>
      </c>
      <c r="C10" s="154"/>
      <c r="D10" s="152"/>
      <c r="E10" s="184"/>
      <c r="F10" s="185"/>
      <c r="G10" s="185"/>
      <c r="H10" s="185"/>
      <c r="I10" s="185"/>
      <c r="J10" s="185"/>
      <c r="K10" s="185"/>
      <c r="L10" s="185" t="s">
        <v>167</v>
      </c>
      <c r="M10" s="185"/>
      <c r="N10" s="185"/>
      <c r="O10" s="185"/>
      <c r="P10" s="185"/>
      <c r="Q10" s="185"/>
      <c r="R10" s="185"/>
      <c r="S10" s="185"/>
      <c r="T10" s="186"/>
      <c r="U10" s="161"/>
      <c r="V10" s="161"/>
      <c r="W10" s="161"/>
    </row>
    <row r="11">
      <c r="A11" s="182"/>
      <c r="B11" s="206" t="s">
        <v>207</v>
      </c>
      <c r="C11" s="154"/>
      <c r="D11" s="152"/>
      <c r="E11" s="184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83" t="s">
        <v>243</v>
      </c>
      <c r="C12" s="154"/>
      <c r="D12" s="152"/>
      <c r="E12" s="184"/>
      <c r="F12" s="185" t="s">
        <v>167</v>
      </c>
      <c r="G12" s="188"/>
      <c r="H12" s="185" t="s">
        <v>167</v>
      </c>
      <c r="I12" s="185" t="s">
        <v>167</v>
      </c>
      <c r="J12" s="185" t="s">
        <v>167</v>
      </c>
      <c r="K12" s="185" t="s">
        <v>167</v>
      </c>
      <c r="L12" s="185" t="s">
        <v>167</v>
      </c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3" t="s">
        <v>209</v>
      </c>
      <c r="C13" s="154"/>
      <c r="D13" s="152"/>
      <c r="E13" s="184"/>
      <c r="F13" s="188"/>
      <c r="G13" s="185" t="s">
        <v>167</v>
      </c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206" t="s">
        <v>227</v>
      </c>
      <c r="C14" s="154"/>
      <c r="D14" s="152"/>
      <c r="E14" s="184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183" t="s">
        <v>228</v>
      </c>
      <c r="C15" s="154"/>
      <c r="D15" s="152"/>
      <c r="E15" s="184"/>
      <c r="F15" s="185" t="s">
        <v>167</v>
      </c>
      <c r="G15" s="185" t="s">
        <v>167</v>
      </c>
      <c r="H15" s="188"/>
      <c r="I15" s="188"/>
      <c r="J15" s="188"/>
      <c r="K15" s="188"/>
      <c r="L15" s="212"/>
      <c r="M15" s="212"/>
      <c r="N15" s="212"/>
      <c r="O15" s="188"/>
      <c r="P15" s="188"/>
      <c r="Q15" s="188"/>
      <c r="R15" s="188"/>
      <c r="S15" s="188"/>
      <c r="T15" s="189"/>
      <c r="U15" s="161"/>
      <c r="V15" s="161"/>
      <c r="W15" s="161"/>
    </row>
    <row r="16">
      <c r="A16" s="182"/>
      <c r="B16" s="183" t="s">
        <v>170</v>
      </c>
      <c r="C16" s="154"/>
      <c r="D16" s="152"/>
      <c r="E16" s="184"/>
      <c r="F16" s="188"/>
      <c r="G16" s="185"/>
      <c r="H16" s="185" t="s">
        <v>167</v>
      </c>
      <c r="I16" s="188"/>
      <c r="J16" s="188"/>
      <c r="K16" s="188"/>
      <c r="L16" s="185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217</v>
      </c>
      <c r="C17" s="154"/>
      <c r="D17" s="152"/>
      <c r="E17" s="184"/>
      <c r="F17" s="188"/>
      <c r="G17" s="188"/>
      <c r="H17" s="188"/>
      <c r="I17" s="185" t="s">
        <v>167</v>
      </c>
      <c r="J17" s="188"/>
      <c r="K17" s="188"/>
      <c r="L17" s="188"/>
      <c r="M17" s="185"/>
      <c r="N17" s="188"/>
      <c r="O17" s="188"/>
      <c r="P17" s="188"/>
      <c r="Q17" s="188"/>
      <c r="R17" s="188"/>
      <c r="S17" s="188"/>
      <c r="T17" s="189"/>
      <c r="U17" s="161"/>
      <c r="V17" s="161"/>
      <c r="W17" s="161"/>
    </row>
    <row r="18">
      <c r="A18" s="182"/>
      <c r="B18" s="183" t="s">
        <v>239</v>
      </c>
      <c r="C18" s="154"/>
      <c r="D18" s="152"/>
      <c r="E18" s="249"/>
      <c r="F18" s="210"/>
      <c r="G18" s="210"/>
      <c r="H18" s="210"/>
      <c r="I18" s="210"/>
      <c r="J18" s="258" t="s">
        <v>167</v>
      </c>
      <c r="K18" s="258"/>
      <c r="L18" s="210"/>
      <c r="M18" s="210"/>
      <c r="N18" s="210"/>
      <c r="O18" s="210"/>
      <c r="P18" s="210"/>
      <c r="Q18" s="210"/>
      <c r="R18" s="210"/>
      <c r="S18" s="210"/>
      <c r="T18" s="259"/>
      <c r="U18" s="161"/>
      <c r="V18" s="161"/>
      <c r="W18" s="161"/>
    </row>
    <row r="19">
      <c r="A19" s="182"/>
      <c r="B19" s="183" t="s">
        <v>229</v>
      </c>
      <c r="C19" s="154"/>
      <c r="D19" s="152"/>
      <c r="E19" s="249"/>
      <c r="F19" s="210"/>
      <c r="G19" s="210"/>
      <c r="H19" s="210"/>
      <c r="I19" s="210"/>
      <c r="J19" s="258"/>
      <c r="K19" s="258" t="s">
        <v>167</v>
      </c>
      <c r="L19" s="210"/>
      <c r="M19" s="210"/>
      <c r="N19" s="210"/>
      <c r="O19" s="210"/>
      <c r="P19" s="210"/>
      <c r="Q19" s="210"/>
      <c r="R19" s="210"/>
      <c r="S19" s="210"/>
      <c r="T19" s="259"/>
      <c r="U19" s="161"/>
      <c r="V19" s="161"/>
      <c r="W19" s="161"/>
    </row>
    <row r="20">
      <c r="A20" s="192"/>
      <c r="B20" s="193" t="s">
        <v>244</v>
      </c>
      <c r="C20" s="194"/>
      <c r="D20" s="195"/>
      <c r="E20" s="196"/>
      <c r="F20" s="197"/>
      <c r="G20" s="197"/>
      <c r="H20" s="197"/>
      <c r="I20" s="197"/>
      <c r="J20" s="198"/>
      <c r="K20" s="198"/>
      <c r="L20" s="198" t="s">
        <v>167</v>
      </c>
      <c r="M20" s="197"/>
      <c r="N20" s="197"/>
      <c r="O20" s="197"/>
      <c r="P20" s="197"/>
      <c r="Q20" s="197"/>
      <c r="R20" s="197"/>
      <c r="S20" s="197"/>
      <c r="T20" s="200"/>
      <c r="U20" s="161"/>
      <c r="V20" s="161"/>
      <c r="W20" s="161"/>
    </row>
    <row r="21" ht="15.75" customHeight="1">
      <c r="A21" s="174" t="s">
        <v>183</v>
      </c>
      <c r="B21" s="201" t="s">
        <v>184</v>
      </c>
      <c r="D21" s="202"/>
      <c r="E21" s="203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81"/>
      <c r="U21" s="161"/>
      <c r="V21" s="161"/>
      <c r="W21" s="161"/>
    </row>
    <row r="22" ht="15.75" customHeight="1">
      <c r="A22" s="182"/>
      <c r="B22" s="204" t="b">
        <v>1</v>
      </c>
      <c r="C22" s="154"/>
      <c r="D22" s="152"/>
      <c r="E22" s="184"/>
      <c r="F22" s="185" t="s">
        <v>167</v>
      </c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9"/>
      <c r="U22" s="161"/>
      <c r="V22" s="161"/>
      <c r="W22" s="161"/>
    </row>
    <row r="23" ht="15.75" customHeight="1">
      <c r="A23" s="182"/>
      <c r="B23" s="204" t="b">
        <v>0</v>
      </c>
      <c r="C23" s="154"/>
      <c r="D23" s="152"/>
      <c r="E23" s="184"/>
      <c r="F23" s="188"/>
      <c r="G23" s="188"/>
      <c r="H23" s="188"/>
      <c r="I23" s="188"/>
      <c r="J23" s="185"/>
      <c r="K23" s="185" t="s">
        <v>167</v>
      </c>
      <c r="L23" s="185" t="s">
        <v>167</v>
      </c>
      <c r="M23" s="185"/>
      <c r="N23" s="188"/>
      <c r="O23" s="188"/>
      <c r="P23" s="185"/>
      <c r="Q23" s="185"/>
      <c r="R23" s="185"/>
      <c r="S23" s="185"/>
      <c r="T23" s="186"/>
      <c r="U23" s="161"/>
      <c r="V23" s="161"/>
      <c r="W23" s="161"/>
    </row>
    <row r="24" ht="15.75" customHeight="1">
      <c r="A24" s="182"/>
      <c r="B24" s="206" t="s">
        <v>185</v>
      </c>
      <c r="C24" s="154"/>
      <c r="D24" s="152"/>
      <c r="E24" s="207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9"/>
      <c r="U24" s="161"/>
      <c r="V24" s="161"/>
      <c r="W24" s="161"/>
    </row>
    <row r="25" ht="15.75" customHeight="1">
      <c r="A25" s="182"/>
      <c r="B25" s="183" t="s">
        <v>221</v>
      </c>
      <c r="C25" s="154"/>
      <c r="D25" s="152"/>
      <c r="E25" s="207"/>
      <c r="F25" s="188"/>
      <c r="G25" s="185" t="s">
        <v>167</v>
      </c>
      <c r="H25" s="185"/>
      <c r="I25" s="185"/>
      <c r="J25" s="185"/>
      <c r="K25" s="185"/>
      <c r="L25" s="212"/>
      <c r="M25" s="212"/>
      <c r="N25" s="185"/>
      <c r="O25" s="185"/>
      <c r="P25" s="188"/>
      <c r="Q25" s="188"/>
      <c r="R25" s="188"/>
      <c r="S25" s="188"/>
      <c r="T25" s="251"/>
      <c r="U25" s="161"/>
      <c r="V25" s="161"/>
      <c r="W25" s="161"/>
    </row>
    <row r="26" ht="15.75" customHeight="1">
      <c r="A26" s="182"/>
      <c r="B26" s="183" t="s">
        <v>186</v>
      </c>
      <c r="C26" s="154"/>
      <c r="D26" s="152"/>
      <c r="E26" s="207"/>
      <c r="F26" s="188"/>
      <c r="G26" s="185"/>
      <c r="H26" s="185" t="s">
        <v>167</v>
      </c>
      <c r="I26" s="185" t="s">
        <v>167</v>
      </c>
      <c r="J26" s="185" t="s">
        <v>167</v>
      </c>
      <c r="K26" s="185"/>
      <c r="L26" s="212"/>
      <c r="M26" s="212"/>
      <c r="N26" s="185"/>
      <c r="O26" s="185"/>
      <c r="P26" s="188"/>
      <c r="Q26" s="188"/>
      <c r="R26" s="188"/>
      <c r="S26" s="188"/>
      <c r="T26" s="208"/>
      <c r="U26" s="161"/>
      <c r="V26" s="161"/>
      <c r="W26" s="161"/>
    </row>
    <row r="27" ht="15.75" customHeight="1">
      <c r="A27" s="182"/>
      <c r="B27" s="206" t="s">
        <v>187</v>
      </c>
      <c r="C27" s="154"/>
      <c r="D27" s="152"/>
      <c r="E27" s="184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189"/>
      <c r="U27" s="161"/>
      <c r="V27" s="161"/>
      <c r="W27" s="161"/>
    </row>
    <row r="28" ht="15.75" customHeight="1">
      <c r="A28" s="182"/>
      <c r="B28" s="183" t="s">
        <v>222</v>
      </c>
      <c r="C28" s="154"/>
      <c r="D28" s="152"/>
      <c r="E28" s="184"/>
      <c r="F28" s="210"/>
      <c r="G28" s="212" t="s">
        <v>167</v>
      </c>
      <c r="H28" s="212"/>
      <c r="I28" s="212"/>
      <c r="J28" s="212"/>
      <c r="K28" s="210"/>
      <c r="L28" s="210"/>
      <c r="M28" s="210"/>
      <c r="N28" s="212"/>
      <c r="O28" s="212"/>
      <c r="P28" s="210"/>
      <c r="Q28" s="210"/>
      <c r="R28" s="210"/>
      <c r="S28" s="210"/>
      <c r="T28" s="189"/>
      <c r="U28" s="161"/>
      <c r="V28" s="161"/>
      <c r="W28" s="161"/>
    </row>
    <row r="29" ht="15.75" customHeight="1">
      <c r="A29" s="182"/>
      <c r="B29" s="183" t="s">
        <v>240</v>
      </c>
      <c r="C29" s="154"/>
      <c r="D29" s="152"/>
      <c r="E29" s="184"/>
      <c r="F29" s="188"/>
      <c r="G29" s="185"/>
      <c r="H29" s="185" t="s">
        <v>167</v>
      </c>
      <c r="I29" s="185" t="s">
        <v>167</v>
      </c>
      <c r="J29" s="185" t="s">
        <v>167</v>
      </c>
      <c r="K29" s="188"/>
      <c r="L29" s="188"/>
      <c r="M29" s="188"/>
      <c r="N29" s="185"/>
      <c r="O29" s="185"/>
      <c r="P29" s="188"/>
      <c r="Q29" s="188"/>
      <c r="R29" s="188"/>
      <c r="S29" s="188"/>
      <c r="T29" s="189"/>
      <c r="U29" s="161"/>
      <c r="V29" s="161"/>
      <c r="W29" s="161"/>
    </row>
    <row r="30" ht="15.75" customHeight="1">
      <c r="A30" s="182"/>
      <c r="B30" s="183" t="s">
        <v>245</v>
      </c>
      <c r="C30" s="154"/>
      <c r="D30" s="152"/>
      <c r="E30" s="249"/>
      <c r="F30" s="210"/>
      <c r="G30" s="210"/>
      <c r="H30" s="210"/>
      <c r="I30" s="210"/>
      <c r="J30" s="258"/>
      <c r="K30" s="258" t="s">
        <v>167</v>
      </c>
      <c r="L30" s="210"/>
      <c r="M30" s="210"/>
      <c r="N30" s="258"/>
      <c r="O30" s="210"/>
      <c r="P30" s="258"/>
      <c r="Q30" s="258"/>
      <c r="R30" s="258"/>
      <c r="S30" s="258"/>
      <c r="T30" s="259"/>
      <c r="U30" s="161"/>
      <c r="V30" s="161"/>
      <c r="W30" s="161"/>
    </row>
    <row r="31" ht="15.75" customHeight="1">
      <c r="A31" s="182"/>
      <c r="B31" s="256" t="s">
        <v>246</v>
      </c>
      <c r="C31" s="214"/>
      <c r="D31" s="215"/>
      <c r="E31" s="216"/>
      <c r="F31" s="217"/>
      <c r="G31" s="217"/>
      <c r="H31" s="217"/>
      <c r="I31" s="217"/>
      <c r="J31" s="198"/>
      <c r="K31" s="198"/>
      <c r="L31" s="198" t="s">
        <v>167</v>
      </c>
      <c r="M31" s="217"/>
      <c r="N31" s="198"/>
      <c r="O31" s="217"/>
      <c r="P31" s="218"/>
      <c r="Q31" s="218"/>
      <c r="R31" s="218"/>
      <c r="S31" s="218"/>
      <c r="T31" s="219"/>
      <c r="U31" s="161"/>
      <c r="V31" s="161"/>
      <c r="W31" s="161"/>
    </row>
    <row r="32" ht="15.75" customHeight="1">
      <c r="A32" s="220" t="s">
        <v>196</v>
      </c>
      <c r="B32" s="221" t="s">
        <v>197</v>
      </c>
      <c r="C32" s="176"/>
      <c r="D32" s="177"/>
      <c r="E32" s="178"/>
      <c r="F32" s="222" t="s">
        <v>137</v>
      </c>
      <c r="G32" s="222" t="s">
        <v>61</v>
      </c>
      <c r="H32" s="222" t="s">
        <v>61</v>
      </c>
      <c r="I32" s="222" t="s">
        <v>61</v>
      </c>
      <c r="J32" s="222" t="s">
        <v>61</v>
      </c>
      <c r="K32" s="222" t="s">
        <v>61</v>
      </c>
      <c r="L32" s="222" t="s">
        <v>61</v>
      </c>
      <c r="M32" s="222"/>
      <c r="N32" s="222"/>
      <c r="O32" s="222"/>
      <c r="P32" s="222"/>
      <c r="Q32" s="222"/>
      <c r="R32" s="222"/>
      <c r="S32" s="222"/>
      <c r="T32" s="224"/>
      <c r="U32" s="161"/>
      <c r="V32" s="161"/>
      <c r="W32" s="161"/>
    </row>
    <row r="33" ht="15.75" customHeight="1">
      <c r="A33" s="182"/>
      <c r="B33" s="221" t="s">
        <v>198</v>
      </c>
      <c r="C33" s="176"/>
      <c r="D33" s="177"/>
      <c r="E33" s="184"/>
      <c r="F33" s="225" t="s">
        <v>199</v>
      </c>
      <c r="G33" s="225" t="s">
        <v>199</v>
      </c>
      <c r="H33" s="225" t="s">
        <v>199</v>
      </c>
      <c r="I33" s="225" t="s">
        <v>199</v>
      </c>
      <c r="J33" s="225" t="s">
        <v>199</v>
      </c>
      <c r="K33" s="225" t="s">
        <v>199</v>
      </c>
      <c r="L33" s="225" t="s">
        <v>199</v>
      </c>
      <c r="M33" s="225"/>
      <c r="N33" s="225"/>
      <c r="O33" s="225"/>
      <c r="P33" s="225"/>
      <c r="Q33" s="225"/>
      <c r="R33" s="225"/>
      <c r="S33" s="225"/>
      <c r="T33" s="226"/>
      <c r="U33" s="161"/>
      <c r="V33" s="161"/>
      <c r="W33" s="161"/>
    </row>
    <row r="34" ht="15.75" customHeight="1">
      <c r="A34" s="182"/>
      <c r="B34" s="221" t="s">
        <v>200</v>
      </c>
      <c r="C34" s="176"/>
      <c r="D34" s="177"/>
      <c r="E34" s="184"/>
      <c r="F34" s="228">
        <v>45958.0</v>
      </c>
      <c r="G34" s="228">
        <v>45958.0</v>
      </c>
      <c r="H34" s="228">
        <v>45958.0</v>
      </c>
      <c r="I34" s="228">
        <v>45958.0</v>
      </c>
      <c r="J34" s="228">
        <v>45958.0</v>
      </c>
      <c r="K34" s="228">
        <v>45958.0</v>
      </c>
      <c r="L34" s="228">
        <v>45958.0</v>
      </c>
      <c r="M34" s="228"/>
      <c r="N34" s="228"/>
      <c r="O34" s="228"/>
      <c r="P34" s="228"/>
      <c r="Q34" s="228"/>
      <c r="R34" s="228"/>
      <c r="S34" s="228"/>
      <c r="T34" s="229"/>
      <c r="U34" s="161"/>
      <c r="V34" s="161"/>
      <c r="W34" s="161"/>
    </row>
    <row r="35" ht="15.75" customHeight="1">
      <c r="A35" s="182"/>
      <c r="B35" s="230" t="s">
        <v>201</v>
      </c>
      <c r="C35" s="231"/>
      <c r="D35" s="232"/>
      <c r="E35" s="233"/>
      <c r="F35" s="217"/>
      <c r="G35" s="217"/>
      <c r="H35" s="217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  <c r="T35" s="236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3:T33">
      <formula1>"P,F"</formula1>
    </dataValidation>
    <dataValidation type="list" allowBlank="1" showInputMessage="1" showErrorMessage="1" prompt=" - " sqref="F8:T31">
      <formula1>"O"</formula1>
    </dataValidation>
    <dataValidation type="list" allowBlank="1" showInputMessage="1" showErrorMessage="1" prompt="Click and enter a value from the list of items" sqref="F32:T32">
      <formula1>"A,B,N"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99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102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COUNTIF(F34:HT34,"P")</f>
        <v>4</v>
      </c>
      <c r="B5" s="165"/>
      <c r="C5" s="164">
        <f>COUNTIF(H34:HV34,"F")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COUNTIF(E33:HT33,"N")</f>
        <v>1</v>
      </c>
      <c r="M5" s="168">
        <f>COUNTIF(F33:HU33,"A")</f>
        <v>3</v>
      </c>
      <c r="N5" s="168">
        <f>COUNTIF(G33:HV33,"B")</f>
        <v>0</v>
      </c>
      <c r="O5" s="167">
        <f>COUNTA(F7:HW7)</f>
        <v>4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207</v>
      </c>
      <c r="C10" s="154"/>
      <c r="D10" s="152"/>
      <c r="E10" s="184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208</v>
      </c>
      <c r="C11" s="154"/>
      <c r="D11" s="152"/>
      <c r="E11" s="184"/>
      <c r="F11" s="185" t="s">
        <v>167</v>
      </c>
      <c r="G11" s="188"/>
      <c r="H11" s="185" t="s">
        <v>167</v>
      </c>
      <c r="I11" s="185" t="s">
        <v>167</v>
      </c>
      <c r="J11" s="185"/>
      <c r="K11" s="185"/>
      <c r="L11" s="185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83" t="s">
        <v>209</v>
      </c>
      <c r="C12" s="154"/>
      <c r="D12" s="152"/>
      <c r="E12" s="184"/>
      <c r="F12" s="188"/>
      <c r="G12" s="185" t="s">
        <v>167</v>
      </c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206" t="s">
        <v>227</v>
      </c>
      <c r="C13" s="154"/>
      <c r="D13" s="152"/>
      <c r="E13" s="184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9"/>
      <c r="U13" s="161"/>
      <c r="V13" s="161"/>
      <c r="W13" s="161"/>
    </row>
    <row r="14">
      <c r="A14" s="182"/>
      <c r="B14" s="183" t="s">
        <v>228</v>
      </c>
      <c r="C14" s="154"/>
      <c r="D14" s="152"/>
      <c r="E14" s="184"/>
      <c r="F14" s="185" t="s">
        <v>167</v>
      </c>
      <c r="G14" s="185" t="s">
        <v>167</v>
      </c>
      <c r="H14" s="238"/>
      <c r="I14" s="185" t="s">
        <v>167</v>
      </c>
      <c r="J14" s="238"/>
      <c r="K14" s="238"/>
      <c r="L14" s="185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183" t="s">
        <v>229</v>
      </c>
      <c r="C15" s="154"/>
      <c r="D15" s="152"/>
      <c r="E15" s="249"/>
      <c r="F15" s="210"/>
      <c r="G15" s="210"/>
      <c r="H15" s="258" t="s">
        <v>167</v>
      </c>
      <c r="I15" s="243"/>
      <c r="J15" s="243"/>
      <c r="K15" s="258"/>
      <c r="L15" s="243"/>
      <c r="M15" s="210"/>
      <c r="N15" s="210"/>
      <c r="O15" s="210"/>
      <c r="P15" s="210"/>
      <c r="Q15" s="210"/>
      <c r="R15" s="210"/>
      <c r="S15" s="210"/>
      <c r="T15" s="259"/>
      <c r="U15" s="161"/>
      <c r="V15" s="161"/>
      <c r="W15" s="161"/>
    </row>
    <row r="16">
      <c r="A16" s="182"/>
      <c r="B16" s="206" t="s">
        <v>232</v>
      </c>
      <c r="C16" s="154"/>
      <c r="D16" s="152"/>
      <c r="E16" s="249"/>
      <c r="F16" s="210"/>
      <c r="G16" s="210"/>
      <c r="H16" s="243"/>
      <c r="I16" s="243"/>
      <c r="J16" s="243"/>
      <c r="K16" s="243"/>
      <c r="L16" s="243"/>
      <c r="M16" s="210"/>
      <c r="N16" s="210"/>
      <c r="O16" s="210"/>
      <c r="P16" s="210"/>
      <c r="Q16" s="210"/>
      <c r="R16" s="210"/>
      <c r="S16" s="210"/>
      <c r="T16" s="259"/>
      <c r="U16" s="161"/>
      <c r="V16" s="161"/>
      <c r="W16" s="161"/>
    </row>
    <row r="17">
      <c r="A17" s="182"/>
      <c r="B17" s="183" t="s">
        <v>233</v>
      </c>
      <c r="C17" s="154"/>
      <c r="D17" s="152"/>
      <c r="E17" s="249"/>
      <c r="F17" s="185" t="s">
        <v>167</v>
      </c>
      <c r="G17" s="185" t="s">
        <v>167</v>
      </c>
      <c r="H17" s="185" t="s">
        <v>167</v>
      </c>
      <c r="I17" s="243"/>
      <c r="J17" s="185"/>
      <c r="K17" s="185"/>
      <c r="L17" s="243"/>
      <c r="M17" s="210"/>
      <c r="N17" s="210"/>
      <c r="O17" s="210"/>
      <c r="P17" s="210"/>
      <c r="Q17" s="210"/>
      <c r="R17" s="210"/>
      <c r="S17" s="210"/>
      <c r="T17" s="259"/>
      <c r="U17" s="161"/>
      <c r="V17" s="161"/>
      <c r="W17" s="161"/>
    </row>
    <row r="18" ht="15.75" customHeight="1">
      <c r="A18" s="182"/>
      <c r="B18" s="183" t="s">
        <v>170</v>
      </c>
      <c r="C18" s="154"/>
      <c r="D18" s="152"/>
      <c r="E18" s="249"/>
      <c r="F18" s="210"/>
      <c r="G18" s="210"/>
      <c r="H18" s="243"/>
      <c r="I18" s="185" t="s">
        <v>167</v>
      </c>
      <c r="J18" s="243"/>
      <c r="K18" s="243"/>
      <c r="L18" s="185"/>
      <c r="M18" s="210"/>
      <c r="N18" s="210"/>
      <c r="O18" s="210"/>
      <c r="P18" s="210"/>
      <c r="Q18" s="210"/>
      <c r="R18" s="210"/>
      <c r="S18" s="210"/>
      <c r="T18" s="259"/>
      <c r="U18" s="161"/>
      <c r="V18" s="161"/>
      <c r="W18" s="161"/>
    </row>
    <row r="19" ht="15.75" customHeight="1">
      <c r="A19" s="182"/>
      <c r="B19" s="206" t="s">
        <v>234</v>
      </c>
      <c r="C19" s="154"/>
      <c r="D19" s="152"/>
      <c r="E19" s="249"/>
      <c r="F19" s="210"/>
      <c r="G19" s="210"/>
      <c r="H19" s="243"/>
      <c r="I19" s="243"/>
      <c r="J19" s="243"/>
      <c r="K19" s="243"/>
      <c r="L19" s="243"/>
      <c r="M19" s="210"/>
      <c r="N19" s="210"/>
      <c r="O19" s="210"/>
      <c r="P19" s="210"/>
      <c r="Q19" s="210"/>
      <c r="R19" s="210"/>
      <c r="S19" s="210"/>
      <c r="T19" s="259"/>
      <c r="U19" s="161"/>
      <c r="V19" s="161"/>
      <c r="W19" s="161"/>
    </row>
    <row r="20" ht="15.75" customHeight="1">
      <c r="A20" s="182"/>
      <c r="B20" s="183" t="s">
        <v>235</v>
      </c>
      <c r="C20" s="154"/>
      <c r="D20" s="152"/>
      <c r="E20" s="249"/>
      <c r="F20" s="185" t="s">
        <v>167</v>
      </c>
      <c r="G20" s="185" t="s">
        <v>167</v>
      </c>
      <c r="H20" s="185" t="s">
        <v>167</v>
      </c>
      <c r="I20" s="212" t="s">
        <v>167</v>
      </c>
      <c r="J20" s="185"/>
      <c r="K20" s="185"/>
      <c r="L20" s="212"/>
      <c r="M20" s="210"/>
      <c r="N20" s="210"/>
      <c r="O20" s="210"/>
      <c r="P20" s="210"/>
      <c r="Q20" s="210"/>
      <c r="R20" s="210"/>
      <c r="S20" s="210"/>
      <c r="T20" s="259"/>
      <c r="U20" s="161"/>
      <c r="V20" s="161"/>
      <c r="W20" s="161"/>
    </row>
    <row r="21" ht="15.75" customHeight="1">
      <c r="A21" s="192"/>
      <c r="B21" s="193" t="s">
        <v>170</v>
      </c>
      <c r="C21" s="194"/>
      <c r="D21" s="195"/>
      <c r="E21" s="196"/>
      <c r="F21" s="197"/>
      <c r="G21" s="197"/>
      <c r="H21" s="239"/>
      <c r="I21" s="239"/>
      <c r="J21" s="239"/>
      <c r="K21" s="239"/>
      <c r="L21" s="239"/>
      <c r="M21" s="197"/>
      <c r="N21" s="197"/>
      <c r="O21" s="197"/>
      <c r="P21" s="197"/>
      <c r="Q21" s="197"/>
      <c r="R21" s="197"/>
      <c r="S21" s="197"/>
      <c r="T21" s="200"/>
      <c r="U21" s="161"/>
      <c r="V21" s="161"/>
      <c r="W21" s="161"/>
    </row>
    <row r="22" ht="15.75" customHeight="1">
      <c r="A22" s="174" t="s">
        <v>183</v>
      </c>
      <c r="B22" s="201" t="s">
        <v>184</v>
      </c>
      <c r="D22" s="202"/>
      <c r="E22" s="203"/>
      <c r="F22" s="179"/>
      <c r="G22" s="179"/>
      <c r="H22" s="240"/>
      <c r="I22" s="240"/>
      <c r="J22" s="240"/>
      <c r="K22" s="240"/>
      <c r="L22" s="240"/>
      <c r="M22" s="179"/>
      <c r="N22" s="179"/>
      <c r="O22" s="179"/>
      <c r="P22" s="179"/>
      <c r="Q22" s="179"/>
      <c r="R22" s="179"/>
      <c r="S22" s="179"/>
      <c r="T22" s="181"/>
      <c r="U22" s="161"/>
      <c r="V22" s="161"/>
      <c r="W22" s="161"/>
    </row>
    <row r="23" ht="15.75" customHeight="1">
      <c r="A23" s="182"/>
      <c r="B23" s="204" t="b">
        <v>1</v>
      </c>
      <c r="C23" s="154"/>
      <c r="D23" s="152"/>
      <c r="E23" s="184"/>
      <c r="F23" s="185" t="s">
        <v>167</v>
      </c>
      <c r="G23" s="188"/>
      <c r="H23" s="238"/>
      <c r="I23" s="238"/>
      <c r="J23" s="238"/>
      <c r="K23" s="238"/>
      <c r="L23" s="238"/>
      <c r="M23" s="188"/>
      <c r="N23" s="188"/>
      <c r="O23" s="188"/>
      <c r="P23" s="188"/>
      <c r="Q23" s="188"/>
      <c r="R23" s="188"/>
      <c r="S23" s="188"/>
      <c r="T23" s="189"/>
      <c r="U23" s="161"/>
      <c r="V23" s="161"/>
      <c r="W23" s="161"/>
    </row>
    <row r="24" ht="15.75" customHeight="1">
      <c r="A24" s="182"/>
      <c r="B24" s="204" t="b">
        <v>0</v>
      </c>
      <c r="C24" s="154"/>
      <c r="D24" s="152"/>
      <c r="E24" s="184"/>
      <c r="F24" s="188"/>
      <c r="G24" s="188"/>
      <c r="H24" s="185" t="s">
        <v>167</v>
      </c>
      <c r="I24" s="238"/>
      <c r="J24" s="238"/>
      <c r="K24" s="185"/>
      <c r="L24" s="238"/>
      <c r="M24" s="185"/>
      <c r="N24" s="188"/>
      <c r="O24" s="188"/>
      <c r="P24" s="185"/>
      <c r="Q24" s="185"/>
      <c r="R24" s="185"/>
      <c r="S24" s="185"/>
      <c r="T24" s="186"/>
      <c r="U24" s="161"/>
      <c r="V24" s="161"/>
      <c r="W24" s="161"/>
    </row>
    <row r="25" ht="15.75" customHeight="1">
      <c r="A25" s="182"/>
      <c r="B25" s="206" t="s">
        <v>185</v>
      </c>
      <c r="C25" s="154"/>
      <c r="D25" s="152"/>
      <c r="E25" s="207"/>
      <c r="F25" s="188"/>
      <c r="G25" s="188"/>
      <c r="H25" s="238"/>
      <c r="I25" s="238"/>
      <c r="J25" s="238"/>
      <c r="K25" s="238"/>
      <c r="L25" s="238"/>
      <c r="M25" s="188"/>
      <c r="N25" s="188"/>
      <c r="O25" s="188"/>
      <c r="P25" s="188"/>
      <c r="Q25" s="188"/>
      <c r="R25" s="188"/>
      <c r="S25" s="188"/>
      <c r="T25" s="189"/>
      <c r="U25" s="161"/>
      <c r="V25" s="161"/>
      <c r="W25" s="161"/>
    </row>
    <row r="26" ht="15.75" customHeight="1">
      <c r="A26" s="182"/>
      <c r="B26" s="183" t="s">
        <v>221</v>
      </c>
      <c r="C26" s="154"/>
      <c r="D26" s="152"/>
      <c r="E26" s="207"/>
      <c r="F26" s="188"/>
      <c r="G26" s="185" t="s">
        <v>167</v>
      </c>
      <c r="H26" s="238"/>
      <c r="I26" s="212"/>
      <c r="J26" s="185"/>
      <c r="K26" s="238"/>
      <c r="L26" s="212"/>
      <c r="M26" s="188"/>
      <c r="N26" s="185"/>
      <c r="O26" s="185"/>
      <c r="P26" s="188"/>
      <c r="Q26" s="188"/>
      <c r="R26" s="188"/>
      <c r="S26" s="188"/>
      <c r="T26" s="251"/>
      <c r="U26" s="161"/>
      <c r="V26" s="161"/>
      <c r="W26" s="161"/>
    </row>
    <row r="27" ht="15.75" customHeight="1">
      <c r="A27" s="182"/>
      <c r="B27" s="183" t="s">
        <v>186</v>
      </c>
      <c r="C27" s="154"/>
      <c r="D27" s="152"/>
      <c r="E27" s="207"/>
      <c r="F27" s="188"/>
      <c r="G27" s="185"/>
      <c r="H27" s="238"/>
      <c r="I27" s="212" t="s">
        <v>167</v>
      </c>
      <c r="J27" s="185"/>
      <c r="K27" s="238"/>
      <c r="L27" s="212"/>
      <c r="M27" s="188"/>
      <c r="N27" s="185"/>
      <c r="O27" s="185"/>
      <c r="P27" s="188"/>
      <c r="Q27" s="188"/>
      <c r="R27" s="188"/>
      <c r="S27" s="188"/>
      <c r="T27" s="208"/>
      <c r="U27" s="161"/>
      <c r="V27" s="161"/>
      <c r="W27" s="161"/>
    </row>
    <row r="28" ht="15.75" customHeight="1">
      <c r="A28" s="182"/>
      <c r="B28" s="206" t="s">
        <v>187</v>
      </c>
      <c r="C28" s="154"/>
      <c r="D28" s="152"/>
      <c r="E28" s="184"/>
      <c r="F28" s="209"/>
      <c r="G28" s="209"/>
      <c r="H28" s="242"/>
      <c r="I28" s="242"/>
      <c r="J28" s="242"/>
      <c r="K28" s="242"/>
      <c r="L28" s="242"/>
      <c r="M28" s="209"/>
      <c r="N28" s="209"/>
      <c r="O28" s="209"/>
      <c r="P28" s="209"/>
      <c r="Q28" s="209"/>
      <c r="R28" s="209"/>
      <c r="S28" s="209"/>
      <c r="T28" s="189"/>
      <c r="U28" s="161"/>
      <c r="V28" s="161"/>
      <c r="W28" s="161"/>
    </row>
    <row r="29" ht="15.75" customHeight="1">
      <c r="A29" s="182"/>
      <c r="B29" s="183" t="s">
        <v>222</v>
      </c>
      <c r="C29" s="154"/>
      <c r="D29" s="152"/>
      <c r="E29" s="184"/>
      <c r="F29" s="210"/>
      <c r="G29" s="212" t="s">
        <v>167</v>
      </c>
      <c r="H29" s="243"/>
      <c r="I29" s="243"/>
      <c r="J29" s="212"/>
      <c r="K29" s="243"/>
      <c r="L29" s="243"/>
      <c r="M29" s="210"/>
      <c r="N29" s="212"/>
      <c r="O29" s="212"/>
      <c r="P29" s="210"/>
      <c r="Q29" s="210"/>
      <c r="R29" s="210"/>
      <c r="S29" s="210"/>
      <c r="T29" s="189"/>
      <c r="U29" s="161"/>
      <c r="V29" s="161"/>
      <c r="W29" s="161"/>
    </row>
    <row r="30" ht="15.75" customHeight="1">
      <c r="A30" s="182"/>
      <c r="B30" s="183" t="s">
        <v>230</v>
      </c>
      <c r="C30" s="154"/>
      <c r="D30" s="152"/>
      <c r="E30" s="184"/>
      <c r="F30" s="188"/>
      <c r="G30" s="185"/>
      <c r="H30" s="238"/>
      <c r="I30" s="238"/>
      <c r="J30" s="185"/>
      <c r="K30" s="238"/>
      <c r="L30" s="238"/>
      <c r="M30" s="188"/>
      <c r="N30" s="185"/>
      <c r="O30" s="185"/>
      <c r="P30" s="188"/>
      <c r="Q30" s="188"/>
      <c r="R30" s="188"/>
      <c r="S30" s="188"/>
      <c r="T30" s="189"/>
      <c r="U30" s="161"/>
      <c r="V30" s="161"/>
      <c r="W30" s="161"/>
    </row>
    <row r="31" ht="15.75" customHeight="1">
      <c r="A31" s="182"/>
      <c r="B31" s="183" t="s">
        <v>236</v>
      </c>
      <c r="C31" s="154"/>
      <c r="D31" s="152"/>
      <c r="E31" s="249"/>
      <c r="F31" s="210"/>
      <c r="G31" s="212"/>
      <c r="H31" s="243"/>
      <c r="I31" s="212" t="s">
        <v>167</v>
      </c>
      <c r="J31" s="243"/>
      <c r="K31" s="243"/>
      <c r="L31" s="212"/>
      <c r="M31" s="210"/>
      <c r="N31" s="212"/>
      <c r="O31" s="212"/>
      <c r="P31" s="210"/>
      <c r="Q31" s="210"/>
      <c r="R31" s="210"/>
      <c r="S31" s="210"/>
      <c r="T31" s="250"/>
      <c r="U31" s="161"/>
      <c r="V31" s="161"/>
      <c r="W31" s="161"/>
    </row>
    <row r="32" ht="15.75" customHeight="1">
      <c r="A32" s="182"/>
      <c r="B32" s="256" t="s">
        <v>231</v>
      </c>
      <c r="C32" s="214"/>
      <c r="D32" s="215"/>
      <c r="E32" s="216"/>
      <c r="F32" s="217"/>
      <c r="G32" s="217"/>
      <c r="H32" s="198" t="s">
        <v>167</v>
      </c>
      <c r="I32" s="244"/>
      <c r="J32" s="239"/>
      <c r="K32" s="198"/>
      <c r="L32" s="244"/>
      <c r="M32" s="217"/>
      <c r="N32" s="217"/>
      <c r="O32" s="217"/>
      <c r="P32" s="218"/>
      <c r="Q32" s="218"/>
      <c r="R32" s="218"/>
      <c r="S32" s="218"/>
      <c r="T32" s="219"/>
      <c r="U32" s="161"/>
      <c r="V32" s="161"/>
      <c r="W32" s="161"/>
    </row>
    <row r="33" ht="15.75" customHeight="1">
      <c r="A33" s="220" t="s">
        <v>196</v>
      </c>
      <c r="B33" s="221" t="s">
        <v>197</v>
      </c>
      <c r="C33" s="176"/>
      <c r="D33" s="177"/>
      <c r="E33" s="178"/>
      <c r="F33" s="222" t="s">
        <v>137</v>
      </c>
      <c r="G33" s="222" t="s">
        <v>61</v>
      </c>
      <c r="H33" s="222" t="s">
        <v>61</v>
      </c>
      <c r="I33" s="222" t="s">
        <v>61</v>
      </c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4"/>
      <c r="U33" s="161"/>
      <c r="V33" s="161"/>
      <c r="W33" s="161"/>
    </row>
    <row r="34" ht="15.75" customHeight="1">
      <c r="A34" s="182"/>
      <c r="B34" s="221" t="s">
        <v>198</v>
      </c>
      <c r="C34" s="176"/>
      <c r="D34" s="177"/>
      <c r="E34" s="184"/>
      <c r="F34" s="225" t="s">
        <v>199</v>
      </c>
      <c r="G34" s="225" t="s">
        <v>199</v>
      </c>
      <c r="H34" s="225" t="s">
        <v>199</v>
      </c>
      <c r="I34" s="225" t="s">
        <v>199</v>
      </c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6"/>
      <c r="U34" s="161"/>
      <c r="V34" s="161"/>
      <c r="W34" s="161"/>
    </row>
    <row r="35" ht="15.75" customHeight="1">
      <c r="A35" s="182"/>
      <c r="B35" s="221" t="s">
        <v>200</v>
      </c>
      <c r="C35" s="176"/>
      <c r="D35" s="177"/>
      <c r="E35" s="184"/>
      <c r="F35" s="227">
        <v>45958.0</v>
      </c>
      <c r="G35" s="227">
        <v>45958.0</v>
      </c>
      <c r="H35" s="227">
        <v>45958.0</v>
      </c>
      <c r="I35" s="227">
        <v>45958.0</v>
      </c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9"/>
      <c r="U35" s="161"/>
      <c r="V35" s="161"/>
      <c r="W35" s="161"/>
    </row>
    <row r="36" ht="15.75" customHeight="1">
      <c r="A36" s="182"/>
      <c r="B36" s="230" t="s">
        <v>201</v>
      </c>
      <c r="C36" s="231"/>
      <c r="D36" s="232"/>
      <c r="E36" s="233"/>
      <c r="F36" s="217"/>
      <c r="G36" s="217"/>
      <c r="H36" s="217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5"/>
      <c r="T36" s="236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8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4:I34 M34:T34">
      <formula1>"P,F"</formula1>
    </dataValidation>
    <dataValidation type="list" allowBlank="1" showInputMessage="1" showErrorMessage="1" prompt=" - " sqref="F8:T32">
      <formula1>"O"</formula1>
    </dataValidation>
    <dataValidation type="list" allowBlank="1" showInputMessage="1" showErrorMessage="1" prompt="Nhấp và nhập một giá trị từ danh sách các mục" sqref="J34:L34">
      <formula1>"P,F,N/A"</formula1>
    </dataValidation>
    <dataValidation type="list" allowBlank="1" showInputMessage="1" showErrorMessage="1" prompt="Click and enter a value from the list of items" sqref="F33:T33">
      <formula1>"A,B,N"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104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247</v>
      </c>
      <c r="C10" s="154"/>
      <c r="D10" s="152"/>
      <c r="E10" s="184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248</v>
      </c>
      <c r="C11" s="154"/>
      <c r="D11" s="152"/>
      <c r="E11" s="184"/>
      <c r="F11" s="185" t="s">
        <v>167</v>
      </c>
      <c r="G11" s="18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249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185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230</v>
      </c>
      <c r="C19" s="154"/>
      <c r="D19" s="152"/>
      <c r="E19" s="184"/>
      <c r="F19" s="188"/>
      <c r="G19" s="18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56" t="s">
        <v>231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45959.0</v>
      </c>
      <c r="G23" s="227">
        <v>45959.0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J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I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70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180</v>
      </c>
      <c r="C10" s="154"/>
      <c r="D10" s="152"/>
      <c r="E10" s="184"/>
      <c r="F10" s="188"/>
      <c r="G10" s="23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181</v>
      </c>
      <c r="C11" s="154"/>
      <c r="D11" s="152"/>
      <c r="E11" s="184"/>
      <c r="F11" s="185" t="s">
        <v>167</v>
      </c>
      <c r="G11" s="23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182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238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226</v>
      </c>
      <c r="C19" s="154"/>
      <c r="D19" s="152"/>
      <c r="E19" s="184"/>
      <c r="F19" s="188"/>
      <c r="G19" s="23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56" t="s">
        <v>195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45959.0</v>
      </c>
      <c r="G23" s="227">
        <v>45959.0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K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J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69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206" t="s">
        <v>227</v>
      </c>
      <c r="C10" s="154"/>
      <c r="D10" s="152"/>
      <c r="E10" s="184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228</v>
      </c>
      <c r="C11" s="154"/>
      <c r="D11" s="152"/>
      <c r="E11" s="184"/>
      <c r="F11" s="185" t="s">
        <v>167</v>
      </c>
      <c r="G11" s="18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229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185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230</v>
      </c>
      <c r="C19" s="154"/>
      <c r="D19" s="152"/>
      <c r="E19" s="184"/>
      <c r="F19" s="188"/>
      <c r="G19" s="18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56" t="s">
        <v>231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45959.0</v>
      </c>
      <c r="G23" s="227">
        <v>45959.0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K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J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71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COUNTIF(F31:HT31,"P")</f>
        <v>5</v>
      </c>
      <c r="B5" s="165"/>
      <c r="C5" s="164">
        <f>COUNTIF(H31:HV31,"F")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COUNTIF(E30:HT30,"N")</f>
        <v>1</v>
      </c>
      <c r="M5" s="168">
        <f>COUNTIF(F30:HU30,"A")</f>
        <v>2</v>
      </c>
      <c r="N5" s="168">
        <f>COUNTIF(G30:HV30,"B")</f>
        <v>2</v>
      </c>
      <c r="O5" s="167">
        <f>COUNTA(F7:HW7)</f>
        <v>5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 t="s">
        <v>167</v>
      </c>
      <c r="I10" s="185" t="s">
        <v>167</v>
      </c>
      <c r="J10" s="185" t="s">
        <v>167</v>
      </c>
      <c r="K10" s="185"/>
      <c r="L10" s="185"/>
      <c r="M10" s="185"/>
      <c r="N10" s="185"/>
      <c r="O10" s="185"/>
      <c r="P10" s="185"/>
      <c r="Q10" s="185"/>
      <c r="R10" s="185"/>
      <c r="S10" s="185"/>
      <c r="T10" s="186"/>
      <c r="U10" s="161"/>
      <c r="V10" s="161"/>
      <c r="W10" s="161"/>
    </row>
    <row r="11">
      <c r="A11" s="182"/>
      <c r="B11" s="206" t="s">
        <v>227</v>
      </c>
      <c r="C11" s="154"/>
      <c r="D11" s="152"/>
      <c r="E11" s="184"/>
      <c r="F11" s="188"/>
      <c r="G11" s="238"/>
      <c r="H11" s="238"/>
      <c r="I11" s="238"/>
      <c r="J11" s="238"/>
      <c r="K11" s="188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82"/>
      <c r="B12" s="183" t="s">
        <v>228</v>
      </c>
      <c r="C12" s="154"/>
      <c r="D12" s="152"/>
      <c r="E12" s="184"/>
      <c r="F12" s="185" t="s">
        <v>167</v>
      </c>
      <c r="G12" s="238"/>
      <c r="H12" s="185" t="s">
        <v>167</v>
      </c>
      <c r="I12" s="185" t="s">
        <v>167</v>
      </c>
      <c r="J12" s="185" t="s">
        <v>167</v>
      </c>
      <c r="K12" s="185"/>
      <c r="L12" s="185"/>
      <c r="M12" s="185"/>
      <c r="N12" s="188"/>
      <c r="O12" s="188"/>
      <c r="P12" s="188"/>
      <c r="Q12" s="188"/>
      <c r="R12" s="188"/>
      <c r="S12" s="188"/>
      <c r="T12" s="189"/>
      <c r="U12" s="161"/>
      <c r="V12" s="161"/>
      <c r="W12" s="161"/>
    </row>
    <row r="13">
      <c r="A13" s="182"/>
      <c r="B13" s="183" t="s">
        <v>229</v>
      </c>
      <c r="C13" s="154"/>
      <c r="D13" s="152"/>
      <c r="E13" s="249"/>
      <c r="F13" s="210"/>
      <c r="G13" s="258" t="s">
        <v>167</v>
      </c>
      <c r="H13" s="243"/>
      <c r="I13" s="243"/>
      <c r="J13" s="243"/>
      <c r="K13" s="210"/>
      <c r="L13" s="210"/>
      <c r="M13" s="210"/>
      <c r="N13" s="210"/>
      <c r="O13" s="210"/>
      <c r="P13" s="210"/>
      <c r="Q13" s="210"/>
      <c r="R13" s="210"/>
      <c r="S13" s="210"/>
      <c r="T13" s="259"/>
      <c r="U13" s="161"/>
      <c r="V13" s="161"/>
      <c r="W13" s="161"/>
    </row>
    <row r="14">
      <c r="A14" s="182"/>
      <c r="B14" s="206" t="s">
        <v>251</v>
      </c>
      <c r="C14" s="154"/>
      <c r="D14" s="152"/>
      <c r="E14" s="249"/>
      <c r="F14" s="210"/>
      <c r="G14" s="243"/>
      <c r="H14" s="243"/>
      <c r="I14" s="243"/>
      <c r="J14" s="243"/>
      <c r="K14" s="210"/>
      <c r="L14" s="210"/>
      <c r="M14" s="210"/>
      <c r="N14" s="210"/>
      <c r="O14" s="210"/>
      <c r="P14" s="210"/>
      <c r="Q14" s="210"/>
      <c r="R14" s="210"/>
      <c r="S14" s="210"/>
      <c r="T14" s="259"/>
      <c r="U14" s="161"/>
      <c r="V14" s="161"/>
      <c r="W14" s="161"/>
    </row>
    <row r="15">
      <c r="A15" s="182"/>
      <c r="B15" s="183">
        <v>2.0</v>
      </c>
      <c r="C15" s="154"/>
      <c r="D15" s="152"/>
      <c r="E15" s="249"/>
      <c r="F15" s="185" t="s">
        <v>167</v>
      </c>
      <c r="G15" s="185" t="s">
        <v>167</v>
      </c>
      <c r="H15" s="243"/>
      <c r="I15" s="243"/>
      <c r="J15" s="243"/>
      <c r="K15" s="210"/>
      <c r="L15" s="210"/>
      <c r="M15" s="210"/>
      <c r="N15" s="210"/>
      <c r="O15" s="210"/>
      <c r="P15" s="210"/>
      <c r="Q15" s="210"/>
      <c r="R15" s="210"/>
      <c r="S15" s="210"/>
      <c r="T15" s="259"/>
      <c r="U15" s="161"/>
      <c r="V15" s="161"/>
      <c r="W15" s="161"/>
    </row>
    <row r="16">
      <c r="A16" s="182"/>
      <c r="B16" s="183">
        <v>0.0</v>
      </c>
      <c r="C16" s="154"/>
      <c r="D16" s="152"/>
      <c r="E16" s="249"/>
      <c r="F16" s="210"/>
      <c r="G16" s="243"/>
      <c r="H16" s="185" t="s">
        <v>167</v>
      </c>
      <c r="I16" s="243"/>
      <c r="J16" s="243"/>
      <c r="K16" s="185"/>
      <c r="L16" s="210"/>
      <c r="M16" s="210"/>
      <c r="N16" s="210"/>
      <c r="O16" s="210"/>
      <c r="P16" s="210"/>
      <c r="Q16" s="210"/>
      <c r="R16" s="210"/>
      <c r="S16" s="210"/>
      <c r="T16" s="259"/>
      <c r="U16" s="161"/>
      <c r="V16" s="161"/>
      <c r="W16" s="161"/>
    </row>
    <row r="17">
      <c r="A17" s="182"/>
      <c r="B17" s="183">
        <v>-1.0</v>
      </c>
      <c r="C17" s="154"/>
      <c r="D17" s="152"/>
      <c r="E17" s="249"/>
      <c r="F17" s="210"/>
      <c r="G17" s="243"/>
      <c r="H17" s="243"/>
      <c r="I17" s="185" t="s">
        <v>167</v>
      </c>
      <c r="J17" s="243"/>
      <c r="K17" s="210"/>
      <c r="L17" s="185"/>
      <c r="M17" s="210"/>
      <c r="N17" s="210"/>
      <c r="O17" s="210"/>
      <c r="P17" s="210"/>
      <c r="Q17" s="210"/>
      <c r="R17" s="210"/>
      <c r="S17" s="210"/>
      <c r="T17" s="259"/>
      <c r="U17" s="161"/>
      <c r="V17" s="161"/>
      <c r="W17" s="161"/>
    </row>
    <row r="18" ht="15.75" customHeight="1">
      <c r="A18" s="192"/>
      <c r="B18" s="193">
        <v>5.0</v>
      </c>
      <c r="C18" s="194"/>
      <c r="D18" s="195"/>
      <c r="E18" s="196"/>
      <c r="F18" s="197"/>
      <c r="G18" s="239"/>
      <c r="H18" s="239"/>
      <c r="I18" s="239"/>
      <c r="J18" s="198" t="s">
        <v>167</v>
      </c>
      <c r="K18" s="197"/>
      <c r="L18" s="197"/>
      <c r="M18" s="198"/>
      <c r="N18" s="197"/>
      <c r="O18" s="197"/>
      <c r="P18" s="197"/>
      <c r="Q18" s="197"/>
      <c r="R18" s="197"/>
      <c r="S18" s="197"/>
      <c r="T18" s="200"/>
      <c r="U18" s="161"/>
      <c r="V18" s="161"/>
      <c r="W18" s="161"/>
    </row>
    <row r="19" ht="15.75" customHeight="1">
      <c r="A19" s="174" t="s">
        <v>183</v>
      </c>
      <c r="B19" s="201" t="s">
        <v>184</v>
      </c>
      <c r="D19" s="202"/>
      <c r="E19" s="203"/>
      <c r="F19" s="179"/>
      <c r="G19" s="240"/>
      <c r="H19" s="240"/>
      <c r="I19" s="240"/>
      <c r="J19" s="240"/>
      <c r="K19" s="179"/>
      <c r="L19" s="179"/>
      <c r="M19" s="179"/>
      <c r="N19" s="179"/>
      <c r="O19" s="179"/>
      <c r="P19" s="179"/>
      <c r="Q19" s="179"/>
      <c r="R19" s="179"/>
      <c r="S19" s="179"/>
      <c r="T19" s="181"/>
      <c r="U19" s="161"/>
      <c r="V19" s="161"/>
      <c r="W19" s="161"/>
    </row>
    <row r="20" ht="15.75" customHeight="1">
      <c r="A20" s="182"/>
      <c r="B20" s="204" t="b">
        <v>1</v>
      </c>
      <c r="C20" s="154"/>
      <c r="D20" s="152"/>
      <c r="E20" s="184"/>
      <c r="F20" s="185" t="s">
        <v>167</v>
      </c>
      <c r="G20" s="238"/>
      <c r="H20" s="238"/>
      <c r="I20" s="238"/>
      <c r="J20" s="238"/>
      <c r="K20" s="188"/>
      <c r="L20" s="188"/>
      <c r="M20" s="188"/>
      <c r="N20" s="188"/>
      <c r="O20" s="188"/>
      <c r="P20" s="188"/>
      <c r="Q20" s="188"/>
      <c r="R20" s="188"/>
      <c r="S20" s="188"/>
      <c r="T20" s="189"/>
      <c r="U20" s="161"/>
      <c r="V20" s="161"/>
      <c r="W20" s="161"/>
    </row>
    <row r="21" ht="15.75" customHeight="1">
      <c r="A21" s="182"/>
      <c r="B21" s="204" t="b">
        <v>0</v>
      </c>
      <c r="C21" s="154"/>
      <c r="D21" s="152"/>
      <c r="E21" s="184"/>
      <c r="F21" s="188"/>
      <c r="G21" s="185" t="s">
        <v>167</v>
      </c>
      <c r="H21" s="185" t="s">
        <v>167</v>
      </c>
      <c r="I21" s="238"/>
      <c r="J21" s="185" t="s">
        <v>167</v>
      </c>
      <c r="K21" s="185"/>
      <c r="L21" s="185"/>
      <c r="M21" s="185"/>
      <c r="N21" s="188"/>
      <c r="O21" s="188"/>
      <c r="P21" s="185"/>
      <c r="Q21" s="185"/>
      <c r="R21" s="185"/>
      <c r="S21" s="185"/>
      <c r="T21" s="186"/>
      <c r="U21" s="161"/>
      <c r="V21" s="161"/>
      <c r="W21" s="161"/>
    </row>
    <row r="22" ht="15.75" customHeight="1">
      <c r="A22" s="182"/>
      <c r="B22" s="206" t="s">
        <v>185</v>
      </c>
      <c r="C22" s="154"/>
      <c r="D22" s="152"/>
      <c r="E22" s="207"/>
      <c r="F22" s="188"/>
      <c r="G22" s="238"/>
      <c r="H22" s="238"/>
      <c r="I22" s="238"/>
      <c r="J22" s="238"/>
      <c r="K22" s="188"/>
      <c r="L22" s="188"/>
      <c r="M22" s="188"/>
      <c r="N22" s="188"/>
      <c r="O22" s="188"/>
      <c r="P22" s="188"/>
      <c r="Q22" s="188"/>
      <c r="R22" s="188"/>
      <c r="S22" s="188"/>
      <c r="T22" s="189"/>
      <c r="U22" s="161"/>
      <c r="V22" s="161"/>
      <c r="W22" s="161"/>
    </row>
    <row r="23" ht="15.75" customHeight="1">
      <c r="A23" s="182"/>
      <c r="B23" s="183" t="s">
        <v>186</v>
      </c>
      <c r="C23" s="154"/>
      <c r="D23" s="152"/>
      <c r="E23" s="207"/>
      <c r="F23" s="188"/>
      <c r="G23" s="238"/>
      <c r="H23" s="238"/>
      <c r="I23" s="185" t="s">
        <v>167</v>
      </c>
      <c r="J23" s="238"/>
      <c r="K23" s="185"/>
      <c r="L23" s="185"/>
      <c r="M23" s="188"/>
      <c r="N23" s="185"/>
      <c r="O23" s="185"/>
      <c r="P23" s="188"/>
      <c r="Q23" s="188"/>
      <c r="R23" s="188"/>
      <c r="S23" s="188"/>
      <c r="T23" s="208"/>
      <c r="U23" s="161"/>
      <c r="V23" s="161"/>
      <c r="W23" s="161"/>
    </row>
    <row r="24" ht="15.75" customHeight="1">
      <c r="A24" s="182"/>
      <c r="B24" s="206" t="s">
        <v>187</v>
      </c>
      <c r="C24" s="154"/>
      <c r="D24" s="152"/>
      <c r="E24" s="184"/>
      <c r="F24" s="209"/>
      <c r="G24" s="242"/>
      <c r="H24" s="242"/>
      <c r="I24" s="242"/>
      <c r="J24" s="242"/>
      <c r="K24" s="209"/>
      <c r="L24" s="209"/>
      <c r="M24" s="209"/>
      <c r="N24" s="209"/>
      <c r="O24" s="209"/>
      <c r="P24" s="209"/>
      <c r="Q24" s="209"/>
      <c r="R24" s="209"/>
      <c r="S24" s="209"/>
      <c r="T24" s="189"/>
      <c r="U24" s="161"/>
      <c r="V24" s="161"/>
      <c r="W24" s="161"/>
    </row>
    <row r="25" ht="15.75" customHeight="1">
      <c r="A25" s="182"/>
      <c r="B25" s="183" t="s">
        <v>230</v>
      </c>
      <c r="C25" s="154"/>
      <c r="D25" s="152"/>
      <c r="E25" s="184"/>
      <c r="F25" s="188"/>
      <c r="G25" s="238"/>
      <c r="H25" s="238"/>
      <c r="I25" s="238"/>
      <c r="J25" s="238"/>
      <c r="K25" s="188"/>
      <c r="L25" s="188"/>
      <c r="M25" s="188"/>
      <c r="N25" s="185"/>
      <c r="O25" s="185"/>
      <c r="P25" s="188"/>
      <c r="Q25" s="188"/>
      <c r="R25" s="188"/>
      <c r="S25" s="188"/>
      <c r="T25" s="189"/>
      <c r="U25" s="161"/>
      <c r="V25" s="161"/>
      <c r="W25" s="161"/>
    </row>
    <row r="26" ht="15.75" customHeight="1">
      <c r="A26" s="182"/>
      <c r="B26" s="183" t="s">
        <v>252</v>
      </c>
      <c r="C26" s="154"/>
      <c r="D26" s="152"/>
      <c r="E26" s="249"/>
      <c r="F26" s="210"/>
      <c r="G26" s="243"/>
      <c r="H26" s="243"/>
      <c r="I26" s="258" t="s">
        <v>167</v>
      </c>
      <c r="J26" s="243"/>
      <c r="K26" s="210"/>
      <c r="L26" s="258"/>
      <c r="M26" s="210"/>
      <c r="N26" s="212"/>
      <c r="O26" s="212"/>
      <c r="P26" s="210"/>
      <c r="Q26" s="210"/>
      <c r="R26" s="210"/>
      <c r="S26" s="210"/>
      <c r="T26" s="250"/>
      <c r="U26" s="161"/>
      <c r="V26" s="161"/>
      <c r="W26" s="161"/>
    </row>
    <row r="27" ht="15.75" customHeight="1">
      <c r="A27" s="182"/>
      <c r="B27" s="183" t="s">
        <v>253</v>
      </c>
      <c r="C27" s="154"/>
      <c r="D27" s="152"/>
      <c r="E27" s="249"/>
      <c r="F27" s="210"/>
      <c r="G27" s="258" t="s">
        <v>167</v>
      </c>
      <c r="H27" s="243"/>
      <c r="I27" s="243"/>
      <c r="J27" s="243"/>
      <c r="K27" s="210"/>
      <c r="L27" s="210"/>
      <c r="M27" s="210"/>
      <c r="N27" s="210"/>
      <c r="O27" s="210"/>
      <c r="P27" s="258"/>
      <c r="Q27" s="258"/>
      <c r="R27" s="258"/>
      <c r="S27" s="258"/>
      <c r="T27" s="259"/>
      <c r="U27" s="161"/>
      <c r="V27" s="161"/>
      <c r="W27" s="161"/>
    </row>
    <row r="28" ht="15.75" customHeight="1">
      <c r="A28" s="182"/>
      <c r="B28" s="183" t="s">
        <v>254</v>
      </c>
      <c r="C28" s="154"/>
      <c r="D28" s="152"/>
      <c r="E28" s="249"/>
      <c r="F28" s="210"/>
      <c r="G28" s="243"/>
      <c r="H28" s="258" t="s">
        <v>167</v>
      </c>
      <c r="I28" s="243"/>
      <c r="J28" s="243"/>
      <c r="K28" s="258"/>
      <c r="L28" s="210"/>
      <c r="M28" s="210"/>
      <c r="N28" s="210"/>
      <c r="O28" s="210"/>
      <c r="P28" s="258"/>
      <c r="Q28" s="258"/>
      <c r="R28" s="258"/>
      <c r="S28" s="258"/>
      <c r="T28" s="259"/>
      <c r="U28" s="161"/>
      <c r="V28" s="161"/>
      <c r="W28" s="161"/>
    </row>
    <row r="29" ht="15.75" customHeight="1">
      <c r="A29" s="182"/>
      <c r="B29" s="256" t="s">
        <v>255</v>
      </c>
      <c r="C29" s="214"/>
      <c r="D29" s="215"/>
      <c r="E29" s="216"/>
      <c r="F29" s="217"/>
      <c r="G29" s="239"/>
      <c r="H29" s="244"/>
      <c r="I29" s="244"/>
      <c r="J29" s="198" t="s">
        <v>167</v>
      </c>
      <c r="K29" s="217"/>
      <c r="L29" s="217"/>
      <c r="M29" s="198"/>
      <c r="N29" s="217"/>
      <c r="O29" s="217"/>
      <c r="P29" s="218"/>
      <c r="Q29" s="218"/>
      <c r="R29" s="218"/>
      <c r="S29" s="218"/>
      <c r="T29" s="219"/>
      <c r="U29" s="161"/>
      <c r="V29" s="161"/>
      <c r="W29" s="161"/>
    </row>
    <row r="30" ht="15.75" customHeight="1">
      <c r="A30" s="220" t="s">
        <v>196</v>
      </c>
      <c r="B30" s="221" t="s">
        <v>197</v>
      </c>
      <c r="C30" s="176"/>
      <c r="D30" s="177"/>
      <c r="E30" s="178"/>
      <c r="F30" s="222" t="s">
        <v>137</v>
      </c>
      <c r="G30" s="222" t="s">
        <v>61</v>
      </c>
      <c r="H30" s="222" t="s">
        <v>138</v>
      </c>
      <c r="I30" s="222" t="s">
        <v>138</v>
      </c>
      <c r="J30" s="222" t="s">
        <v>61</v>
      </c>
      <c r="K30" s="222"/>
      <c r="L30" s="222"/>
      <c r="M30" s="222"/>
      <c r="N30" s="222"/>
      <c r="O30" s="222"/>
      <c r="P30" s="222"/>
      <c r="Q30" s="222"/>
      <c r="R30" s="222"/>
      <c r="S30" s="222"/>
      <c r="T30" s="224"/>
      <c r="U30" s="161"/>
      <c r="V30" s="161"/>
      <c r="W30" s="161"/>
    </row>
    <row r="31" ht="15.75" customHeight="1">
      <c r="A31" s="182"/>
      <c r="B31" s="221" t="s">
        <v>198</v>
      </c>
      <c r="C31" s="176"/>
      <c r="D31" s="177"/>
      <c r="E31" s="184"/>
      <c r="F31" s="225" t="s">
        <v>199</v>
      </c>
      <c r="G31" s="225" t="s">
        <v>199</v>
      </c>
      <c r="H31" s="225" t="s">
        <v>199</v>
      </c>
      <c r="I31" s="225" t="s">
        <v>199</v>
      </c>
      <c r="J31" s="225" t="s">
        <v>199</v>
      </c>
      <c r="K31" s="225"/>
      <c r="L31" s="225"/>
      <c r="M31" s="225"/>
      <c r="N31" s="225"/>
      <c r="O31" s="225"/>
      <c r="P31" s="225"/>
      <c r="Q31" s="225"/>
      <c r="R31" s="225"/>
      <c r="S31" s="225"/>
      <c r="T31" s="226"/>
      <c r="U31" s="161"/>
      <c r="V31" s="161"/>
      <c r="W31" s="161"/>
    </row>
    <row r="32" ht="15.75" customHeight="1">
      <c r="A32" s="182"/>
      <c r="B32" s="221" t="s">
        <v>200</v>
      </c>
      <c r="C32" s="176"/>
      <c r="D32" s="177"/>
      <c r="E32" s="184"/>
      <c r="F32" s="227">
        <v>45959.0</v>
      </c>
      <c r="G32" s="227">
        <v>45959.0</v>
      </c>
      <c r="H32" s="227">
        <v>45959.0</v>
      </c>
      <c r="I32" s="227">
        <v>45959.0</v>
      </c>
      <c r="J32" s="227">
        <v>45959.0</v>
      </c>
      <c r="K32" s="228"/>
      <c r="L32" s="228"/>
      <c r="M32" s="228"/>
      <c r="N32" s="228"/>
      <c r="O32" s="228"/>
      <c r="P32" s="228"/>
      <c r="Q32" s="228"/>
      <c r="R32" s="228"/>
      <c r="S32" s="228"/>
      <c r="T32" s="229"/>
      <c r="U32" s="161"/>
      <c r="V32" s="161"/>
      <c r="W32" s="161"/>
    </row>
    <row r="33" ht="15.75" customHeight="1">
      <c r="A33" s="182"/>
      <c r="B33" s="230" t="s">
        <v>201</v>
      </c>
      <c r="C33" s="231"/>
      <c r="D33" s="232"/>
      <c r="E33" s="233"/>
      <c r="F33" s="217"/>
      <c r="G33" s="217"/>
      <c r="H33" s="217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5"/>
      <c r="T33" s="236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5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1:J31 N31:T31">
      <formula1>"P,F"</formula1>
    </dataValidation>
    <dataValidation type="list" allowBlank="1" showInputMessage="1" showErrorMessage="1" prompt=" - " sqref="F8:T29">
      <formula1>"O"</formula1>
    </dataValidation>
    <dataValidation type="list" allowBlank="1" showInputMessage="1" showErrorMessage="1" prompt="Nhấp và nhập một giá trị từ danh sách các mục" sqref="K31:M31">
      <formula1>"P,F,N/A"</formula1>
    </dataValidation>
    <dataValidation type="list" allowBlank="1" showInputMessage="1" showErrorMessage="1" prompt="Click and enter a value from the list of items" sqref="F30:T30">
      <formula1>"A,B,N"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7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72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COUNTIF(F57:HU57,"P")</f>
        <v>14</v>
      </c>
      <c r="B5" s="165"/>
      <c r="C5" s="164">
        <f>COUNTIF(H57:HW57,"F")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COUNTIF(E56:HU56,"N")</f>
        <v>1</v>
      </c>
      <c r="M5" s="168">
        <f>COUNTIF(F56:HV56,"A")</f>
        <v>8</v>
      </c>
      <c r="N5" s="168">
        <f>COUNTIF(G56:HW56,"B")</f>
        <v>5</v>
      </c>
      <c r="O5" s="167">
        <f>COUNTA(F7:HX7)</f>
        <v>14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 t="s">
        <v>160</v>
      </c>
      <c r="N7" s="171" t="s">
        <v>161</v>
      </c>
      <c r="O7" s="171" t="s">
        <v>162</v>
      </c>
      <c r="P7" s="171" t="s">
        <v>163</v>
      </c>
      <c r="Q7" s="171" t="s">
        <v>256</v>
      </c>
      <c r="R7" s="171" t="s">
        <v>257</v>
      </c>
      <c r="S7" s="171" t="s">
        <v>258</v>
      </c>
      <c r="T7" s="171"/>
      <c r="U7" s="161"/>
      <c r="V7" s="161"/>
      <c r="W7" s="161"/>
      <c r="X7" s="161"/>
      <c r="Y7" s="161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40"/>
      <c r="U8" s="161"/>
      <c r="V8" s="161"/>
      <c r="W8" s="161"/>
      <c r="X8" s="161"/>
      <c r="Y8" s="161"/>
      <c r="Z8" s="173"/>
      <c r="AA8" s="173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212" t="s">
        <v>167</v>
      </c>
      <c r="K9" s="212" t="s">
        <v>167</v>
      </c>
      <c r="L9" s="212" t="s">
        <v>167</v>
      </c>
      <c r="M9" s="212" t="s">
        <v>167</v>
      </c>
      <c r="N9" s="212" t="s">
        <v>167</v>
      </c>
      <c r="O9" s="212" t="s">
        <v>167</v>
      </c>
      <c r="P9" s="212" t="s">
        <v>167</v>
      </c>
      <c r="Q9" s="212" t="s">
        <v>167</v>
      </c>
      <c r="R9" s="212" t="s">
        <v>167</v>
      </c>
      <c r="S9" s="185" t="s">
        <v>167</v>
      </c>
      <c r="T9" s="260"/>
      <c r="U9" s="161"/>
      <c r="V9" s="161"/>
      <c r="W9" s="161"/>
      <c r="X9" s="161"/>
      <c r="Y9" s="161"/>
      <c r="Z9" s="173"/>
      <c r="AA9" s="173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 t="s">
        <v>167</v>
      </c>
      <c r="I10" s="185" t="s">
        <v>167</v>
      </c>
      <c r="J10" s="212" t="s">
        <v>167</v>
      </c>
      <c r="K10" s="212" t="s">
        <v>167</v>
      </c>
      <c r="L10" s="212" t="s">
        <v>167</v>
      </c>
      <c r="M10" s="212" t="s">
        <v>167</v>
      </c>
      <c r="N10" s="212" t="s">
        <v>167</v>
      </c>
      <c r="O10" s="212" t="s">
        <v>167</v>
      </c>
      <c r="P10" s="212" t="s">
        <v>167</v>
      </c>
      <c r="Q10" s="212" t="s">
        <v>167</v>
      </c>
      <c r="R10" s="212" t="s">
        <v>167</v>
      </c>
      <c r="S10" s="185" t="s">
        <v>167</v>
      </c>
      <c r="T10" s="260"/>
      <c r="U10" s="161"/>
      <c r="V10" s="161"/>
      <c r="W10" s="161"/>
      <c r="X10" s="161"/>
      <c r="Y10" s="161"/>
      <c r="Z10" s="173"/>
      <c r="AA10" s="173"/>
    </row>
    <row r="11">
      <c r="A11" s="182"/>
      <c r="B11" s="206" t="s">
        <v>207</v>
      </c>
      <c r="C11" s="154"/>
      <c r="D11" s="152"/>
      <c r="E11" s="184"/>
      <c r="F11" s="188"/>
      <c r="G11" s="188"/>
      <c r="H11" s="238"/>
      <c r="I11" s="238"/>
      <c r="J11" s="188"/>
      <c r="K11" s="188"/>
      <c r="L11" s="188"/>
      <c r="M11" s="238"/>
      <c r="N11" s="238"/>
      <c r="O11" s="238"/>
      <c r="P11" s="238"/>
      <c r="Q11" s="238"/>
      <c r="R11" s="238"/>
      <c r="S11" s="238"/>
      <c r="T11" s="208"/>
      <c r="U11" s="161"/>
      <c r="V11" s="161"/>
      <c r="W11" s="161"/>
      <c r="X11" s="161"/>
      <c r="Y11" s="161"/>
      <c r="Z11" s="173"/>
      <c r="AA11" s="173"/>
    </row>
    <row r="12">
      <c r="A12" s="182"/>
      <c r="B12" s="183" t="s">
        <v>208</v>
      </c>
      <c r="C12" s="154"/>
      <c r="D12" s="152"/>
      <c r="E12" s="184"/>
      <c r="F12" s="185" t="s">
        <v>167</v>
      </c>
      <c r="G12" s="188"/>
      <c r="H12" s="185" t="s">
        <v>167</v>
      </c>
      <c r="I12" s="185" t="s">
        <v>167</v>
      </c>
      <c r="J12" s="185" t="s">
        <v>167</v>
      </c>
      <c r="K12" s="212" t="s">
        <v>167</v>
      </c>
      <c r="L12" s="212" t="s">
        <v>167</v>
      </c>
      <c r="M12" s="212" t="s">
        <v>167</v>
      </c>
      <c r="N12" s="212" t="s">
        <v>167</v>
      </c>
      <c r="O12" s="185" t="s">
        <v>167</v>
      </c>
      <c r="P12" s="185" t="s">
        <v>167</v>
      </c>
      <c r="Q12" s="185" t="s">
        <v>167</v>
      </c>
      <c r="R12" s="185" t="s">
        <v>167</v>
      </c>
      <c r="S12" s="185" t="s">
        <v>167</v>
      </c>
      <c r="T12" s="260"/>
      <c r="U12" s="161"/>
      <c r="V12" s="161"/>
      <c r="W12" s="161"/>
      <c r="X12" s="161"/>
      <c r="Y12" s="161"/>
      <c r="Z12" s="173"/>
      <c r="AA12" s="173"/>
    </row>
    <row r="13">
      <c r="A13" s="182"/>
      <c r="B13" s="183" t="s">
        <v>209</v>
      </c>
      <c r="C13" s="154"/>
      <c r="D13" s="152"/>
      <c r="E13" s="184"/>
      <c r="F13" s="188"/>
      <c r="G13" s="185" t="s">
        <v>167</v>
      </c>
      <c r="H13" s="238"/>
      <c r="I13" s="238"/>
      <c r="J13" s="188"/>
      <c r="K13" s="188"/>
      <c r="L13" s="188"/>
      <c r="M13" s="238"/>
      <c r="N13" s="238"/>
      <c r="O13" s="238"/>
      <c r="P13" s="238"/>
      <c r="Q13" s="238"/>
      <c r="R13" s="238"/>
      <c r="S13" s="238"/>
      <c r="T13" s="208"/>
      <c r="U13" s="161"/>
      <c r="V13" s="161"/>
      <c r="W13" s="161"/>
      <c r="X13" s="161"/>
      <c r="Y13" s="161"/>
      <c r="Z13" s="173"/>
      <c r="AA13" s="173"/>
    </row>
    <row r="14">
      <c r="A14" s="182"/>
      <c r="B14" s="206" t="s">
        <v>180</v>
      </c>
      <c r="C14" s="154"/>
      <c r="D14" s="152"/>
      <c r="E14" s="184"/>
      <c r="F14" s="188"/>
      <c r="G14" s="188"/>
      <c r="H14" s="238"/>
      <c r="I14" s="238"/>
      <c r="J14" s="188"/>
      <c r="K14" s="188"/>
      <c r="L14" s="188"/>
      <c r="M14" s="238"/>
      <c r="N14" s="238"/>
      <c r="O14" s="238"/>
      <c r="P14" s="238"/>
      <c r="Q14" s="238"/>
      <c r="R14" s="238"/>
      <c r="S14" s="238"/>
      <c r="T14" s="208"/>
      <c r="U14" s="161"/>
      <c r="V14" s="161"/>
      <c r="W14" s="161"/>
      <c r="X14" s="161"/>
      <c r="Y14" s="161"/>
      <c r="Z14" s="173"/>
      <c r="AA14" s="173"/>
    </row>
    <row r="15">
      <c r="A15" s="182"/>
      <c r="B15" s="183" t="s">
        <v>181</v>
      </c>
      <c r="C15" s="154"/>
      <c r="D15" s="152"/>
      <c r="E15" s="184"/>
      <c r="F15" s="185" t="s">
        <v>167</v>
      </c>
      <c r="G15" s="185" t="s">
        <v>167</v>
      </c>
      <c r="H15" s="238"/>
      <c r="I15" s="212" t="s">
        <v>167</v>
      </c>
      <c r="J15" s="212" t="s">
        <v>167</v>
      </c>
      <c r="K15" s="212" t="s">
        <v>167</v>
      </c>
      <c r="L15" s="212" t="s">
        <v>167</v>
      </c>
      <c r="M15" s="212" t="s">
        <v>167</v>
      </c>
      <c r="N15" s="212" t="s">
        <v>167</v>
      </c>
      <c r="O15" s="212" t="s">
        <v>167</v>
      </c>
      <c r="P15" s="212" t="s">
        <v>167</v>
      </c>
      <c r="Q15" s="212" t="s">
        <v>167</v>
      </c>
      <c r="R15" s="212" t="s">
        <v>167</v>
      </c>
      <c r="S15" s="185" t="s">
        <v>167</v>
      </c>
      <c r="T15" s="260"/>
      <c r="U15" s="161"/>
      <c r="V15" s="161"/>
      <c r="W15" s="161"/>
      <c r="X15" s="161"/>
      <c r="Y15" s="161"/>
      <c r="Z15" s="173"/>
      <c r="AA15" s="173"/>
    </row>
    <row r="16">
      <c r="A16" s="182"/>
      <c r="B16" s="183" t="s">
        <v>182</v>
      </c>
      <c r="C16" s="154"/>
      <c r="D16" s="152"/>
      <c r="E16" s="249"/>
      <c r="F16" s="210"/>
      <c r="G16" s="210"/>
      <c r="H16" s="258" t="s">
        <v>167</v>
      </c>
      <c r="I16" s="243"/>
      <c r="J16" s="210"/>
      <c r="K16" s="210"/>
      <c r="L16" s="210"/>
      <c r="M16" s="243"/>
      <c r="N16" s="243"/>
      <c r="O16" s="243"/>
      <c r="P16" s="243"/>
      <c r="Q16" s="243"/>
      <c r="R16" s="243"/>
      <c r="S16" s="243"/>
      <c r="T16" s="261"/>
      <c r="U16" s="161"/>
      <c r="V16" s="161"/>
      <c r="W16" s="161"/>
      <c r="X16" s="161"/>
      <c r="Y16" s="161"/>
      <c r="Z16" s="173"/>
      <c r="AA16" s="173"/>
    </row>
    <row r="17">
      <c r="A17" s="182"/>
      <c r="B17" s="206" t="s">
        <v>227</v>
      </c>
      <c r="C17" s="154"/>
      <c r="D17" s="152"/>
      <c r="E17" s="249"/>
      <c r="F17" s="210"/>
      <c r="G17" s="210"/>
      <c r="H17" s="243"/>
      <c r="I17" s="243"/>
      <c r="J17" s="210"/>
      <c r="K17" s="210"/>
      <c r="L17" s="210"/>
      <c r="M17" s="243"/>
      <c r="N17" s="243"/>
      <c r="O17" s="243"/>
      <c r="P17" s="243"/>
      <c r="Q17" s="243"/>
      <c r="R17" s="243"/>
      <c r="S17" s="243"/>
      <c r="T17" s="261"/>
      <c r="U17" s="161"/>
      <c r="V17" s="161"/>
      <c r="W17" s="161"/>
      <c r="X17" s="161"/>
      <c r="Y17" s="161"/>
      <c r="Z17" s="173"/>
      <c r="AA17" s="173"/>
    </row>
    <row r="18" ht="15.75" customHeight="1">
      <c r="A18" s="182"/>
      <c r="B18" s="183" t="s">
        <v>228</v>
      </c>
      <c r="C18" s="154"/>
      <c r="D18" s="152"/>
      <c r="E18" s="249"/>
      <c r="F18" s="185" t="s">
        <v>167</v>
      </c>
      <c r="G18" s="185" t="s">
        <v>167</v>
      </c>
      <c r="H18" s="185" t="s">
        <v>167</v>
      </c>
      <c r="I18" s="238"/>
      <c r="J18" s="212" t="s">
        <v>167</v>
      </c>
      <c r="K18" s="212" t="s">
        <v>167</v>
      </c>
      <c r="L18" s="212" t="s">
        <v>167</v>
      </c>
      <c r="M18" s="212" t="s">
        <v>167</v>
      </c>
      <c r="N18" s="212" t="s">
        <v>167</v>
      </c>
      <c r="O18" s="212" t="s">
        <v>167</v>
      </c>
      <c r="P18" s="212" t="s">
        <v>167</v>
      </c>
      <c r="Q18" s="212" t="s">
        <v>167</v>
      </c>
      <c r="R18" s="212" t="s">
        <v>167</v>
      </c>
      <c r="S18" s="185" t="s">
        <v>167</v>
      </c>
      <c r="T18" s="260"/>
      <c r="U18" s="161"/>
      <c r="V18" s="161"/>
      <c r="W18" s="161"/>
      <c r="X18" s="161"/>
      <c r="Y18" s="161"/>
      <c r="Z18" s="173"/>
      <c r="AA18" s="173"/>
    </row>
    <row r="19" ht="15.75" customHeight="1">
      <c r="A19" s="182"/>
      <c r="B19" s="183" t="s">
        <v>229</v>
      </c>
      <c r="C19" s="154"/>
      <c r="D19" s="152"/>
      <c r="E19" s="249"/>
      <c r="F19" s="210"/>
      <c r="G19" s="210"/>
      <c r="H19" s="243"/>
      <c r="I19" s="185" t="s">
        <v>167</v>
      </c>
      <c r="J19" s="210"/>
      <c r="K19" s="210"/>
      <c r="L19" s="210"/>
      <c r="M19" s="243"/>
      <c r="N19" s="243"/>
      <c r="O19" s="243"/>
      <c r="P19" s="243"/>
      <c r="Q19" s="243"/>
      <c r="R19" s="243"/>
      <c r="S19" s="243"/>
      <c r="T19" s="261"/>
      <c r="U19" s="161"/>
      <c r="V19" s="161"/>
      <c r="W19" s="161"/>
      <c r="X19" s="161"/>
      <c r="Y19" s="161"/>
      <c r="Z19" s="173"/>
      <c r="AA19" s="173"/>
    </row>
    <row r="20" ht="15.75" customHeight="1">
      <c r="A20" s="182"/>
      <c r="B20" s="206" t="s">
        <v>259</v>
      </c>
      <c r="C20" s="154"/>
      <c r="D20" s="152"/>
      <c r="E20" s="249"/>
      <c r="F20" s="210"/>
      <c r="G20" s="210"/>
      <c r="H20" s="243"/>
      <c r="I20" s="243"/>
      <c r="J20" s="210"/>
      <c r="K20" s="210"/>
      <c r="L20" s="210"/>
      <c r="M20" s="243"/>
      <c r="N20" s="243"/>
      <c r="O20" s="243"/>
      <c r="P20" s="243"/>
      <c r="Q20" s="243"/>
      <c r="R20" s="243"/>
      <c r="S20" s="243"/>
      <c r="T20" s="261"/>
      <c r="U20" s="161"/>
      <c r="V20" s="161"/>
      <c r="W20" s="161"/>
      <c r="X20" s="161"/>
      <c r="Y20" s="161"/>
      <c r="Z20" s="173"/>
      <c r="AA20" s="173"/>
    </row>
    <row r="21" ht="15.75" customHeight="1">
      <c r="A21" s="182"/>
      <c r="B21" s="183" t="s">
        <v>260</v>
      </c>
      <c r="C21" s="154"/>
      <c r="D21" s="152"/>
      <c r="E21" s="249"/>
      <c r="F21" s="185" t="s">
        <v>167</v>
      </c>
      <c r="G21" s="185" t="s">
        <v>167</v>
      </c>
      <c r="H21" s="185" t="s">
        <v>167</v>
      </c>
      <c r="I21" s="185" t="s">
        <v>167</v>
      </c>
      <c r="J21" s="210"/>
      <c r="K21" s="212"/>
      <c r="L21" s="212"/>
      <c r="M21" s="212" t="s">
        <v>167</v>
      </c>
      <c r="N21" s="212" t="s">
        <v>167</v>
      </c>
      <c r="O21" s="212" t="s">
        <v>167</v>
      </c>
      <c r="P21" s="212" t="s">
        <v>167</v>
      </c>
      <c r="Q21" s="212" t="s">
        <v>167</v>
      </c>
      <c r="R21" s="212" t="s">
        <v>167</v>
      </c>
      <c r="S21" s="185" t="s">
        <v>167</v>
      </c>
      <c r="T21" s="260"/>
      <c r="U21" s="161"/>
      <c r="V21" s="161"/>
      <c r="W21" s="161"/>
      <c r="X21" s="161"/>
      <c r="Y21" s="161"/>
      <c r="Z21" s="173"/>
      <c r="AA21" s="173"/>
    </row>
    <row r="22" ht="15.75" customHeight="1">
      <c r="A22" s="182"/>
      <c r="B22" s="183" t="s">
        <v>170</v>
      </c>
      <c r="C22" s="154"/>
      <c r="D22" s="152"/>
      <c r="E22" s="249"/>
      <c r="F22" s="210"/>
      <c r="G22" s="210"/>
      <c r="H22" s="243"/>
      <c r="I22" s="238"/>
      <c r="J22" s="185" t="s">
        <v>167</v>
      </c>
      <c r="K22" s="210"/>
      <c r="L22" s="210"/>
      <c r="M22" s="243"/>
      <c r="N22" s="243"/>
      <c r="O22" s="243"/>
      <c r="P22" s="243"/>
      <c r="Q22" s="243"/>
      <c r="R22" s="238"/>
      <c r="S22" s="243"/>
      <c r="T22" s="261"/>
      <c r="U22" s="161"/>
      <c r="V22" s="161"/>
      <c r="W22" s="161"/>
      <c r="X22" s="161"/>
      <c r="Y22" s="161"/>
      <c r="Z22" s="173"/>
      <c r="AA22" s="173"/>
    </row>
    <row r="23" ht="15.75" customHeight="1">
      <c r="A23" s="182"/>
      <c r="B23" s="183" t="s">
        <v>217</v>
      </c>
      <c r="C23" s="154"/>
      <c r="D23" s="152"/>
      <c r="E23" s="249"/>
      <c r="F23" s="210"/>
      <c r="G23" s="210"/>
      <c r="H23" s="243"/>
      <c r="I23" s="243"/>
      <c r="J23" s="212"/>
      <c r="K23" s="185" t="s">
        <v>167</v>
      </c>
      <c r="L23" s="210"/>
      <c r="M23" s="243"/>
      <c r="N23" s="243"/>
      <c r="O23" s="243"/>
      <c r="P23" s="243"/>
      <c r="Q23" s="243"/>
      <c r="R23" s="243"/>
      <c r="S23" s="243"/>
      <c r="T23" s="261"/>
      <c r="U23" s="161"/>
      <c r="V23" s="161"/>
      <c r="W23" s="161"/>
      <c r="X23" s="161"/>
      <c r="Y23" s="161"/>
      <c r="Z23" s="173"/>
      <c r="AA23" s="173"/>
    </row>
    <row r="24" ht="15.75" customHeight="1">
      <c r="A24" s="182"/>
      <c r="B24" s="183" t="s">
        <v>261</v>
      </c>
      <c r="C24" s="154"/>
      <c r="D24" s="152"/>
      <c r="E24" s="249"/>
      <c r="F24" s="210"/>
      <c r="G24" s="210"/>
      <c r="H24" s="243"/>
      <c r="I24" s="243"/>
      <c r="J24" s="212"/>
      <c r="K24" s="210"/>
      <c r="L24" s="185" t="s">
        <v>167</v>
      </c>
      <c r="M24" s="243"/>
      <c r="N24" s="243"/>
      <c r="O24" s="243"/>
      <c r="P24" s="243"/>
      <c r="Q24" s="243"/>
      <c r="R24" s="243"/>
      <c r="S24" s="243"/>
      <c r="T24" s="261"/>
      <c r="U24" s="161"/>
      <c r="V24" s="161"/>
      <c r="W24" s="161"/>
      <c r="X24" s="161"/>
      <c r="Y24" s="161"/>
      <c r="Z24" s="173"/>
      <c r="AA24" s="173"/>
    </row>
    <row r="25" ht="15.75" customHeight="1">
      <c r="A25" s="182"/>
      <c r="B25" s="206" t="s">
        <v>251</v>
      </c>
      <c r="C25" s="154"/>
      <c r="D25" s="152"/>
      <c r="E25" s="249"/>
      <c r="F25" s="210"/>
      <c r="G25" s="210"/>
      <c r="H25" s="243"/>
      <c r="I25" s="243"/>
      <c r="J25" s="210"/>
      <c r="K25" s="210"/>
      <c r="L25" s="210"/>
      <c r="M25" s="243"/>
      <c r="N25" s="243"/>
      <c r="O25" s="243"/>
      <c r="P25" s="243"/>
      <c r="Q25" s="243"/>
      <c r="R25" s="243"/>
      <c r="S25" s="243"/>
      <c r="T25" s="261"/>
      <c r="U25" s="161"/>
      <c r="V25" s="161"/>
      <c r="W25" s="161"/>
      <c r="X25" s="161"/>
      <c r="Y25" s="161"/>
      <c r="Z25" s="173"/>
      <c r="AA25" s="173"/>
    </row>
    <row r="26" ht="15.75" customHeight="1">
      <c r="A26" s="182"/>
      <c r="B26" s="183">
        <v>2.0</v>
      </c>
      <c r="C26" s="154"/>
      <c r="D26" s="152"/>
      <c r="E26" s="249"/>
      <c r="F26" s="185" t="s">
        <v>167</v>
      </c>
      <c r="G26" s="185" t="s">
        <v>167</v>
      </c>
      <c r="H26" s="185" t="s">
        <v>167</v>
      </c>
      <c r="I26" s="185" t="s">
        <v>167</v>
      </c>
      <c r="J26" s="212" t="s">
        <v>167</v>
      </c>
      <c r="K26" s="212" t="s">
        <v>167</v>
      </c>
      <c r="L26" s="212" t="s">
        <v>167</v>
      </c>
      <c r="M26" s="243"/>
      <c r="N26" s="243"/>
      <c r="O26" s="243"/>
      <c r="P26" s="185" t="s">
        <v>167</v>
      </c>
      <c r="Q26" s="185" t="s">
        <v>167</v>
      </c>
      <c r="R26" s="185" t="s">
        <v>167</v>
      </c>
      <c r="S26" s="185" t="s">
        <v>167</v>
      </c>
      <c r="T26" s="260"/>
      <c r="U26" s="161"/>
      <c r="V26" s="161"/>
      <c r="W26" s="161"/>
      <c r="X26" s="161"/>
      <c r="Y26" s="161"/>
      <c r="Z26" s="173"/>
      <c r="AA26" s="173"/>
    </row>
    <row r="27" ht="15.75" customHeight="1">
      <c r="A27" s="182"/>
      <c r="B27" s="183">
        <v>0.0</v>
      </c>
      <c r="C27" s="154"/>
      <c r="D27" s="152"/>
      <c r="E27" s="249"/>
      <c r="F27" s="210"/>
      <c r="G27" s="210"/>
      <c r="H27" s="243"/>
      <c r="I27" s="243"/>
      <c r="J27" s="210"/>
      <c r="K27" s="185"/>
      <c r="L27" s="210"/>
      <c r="M27" s="185" t="s">
        <v>167</v>
      </c>
      <c r="N27" s="243"/>
      <c r="O27" s="243"/>
      <c r="P27" s="243"/>
      <c r="Q27" s="243"/>
      <c r="R27" s="243"/>
      <c r="S27" s="238"/>
      <c r="T27" s="208"/>
      <c r="U27" s="161"/>
      <c r="V27" s="161"/>
      <c r="W27" s="161"/>
      <c r="X27" s="161"/>
      <c r="Y27" s="161"/>
      <c r="Z27" s="173"/>
      <c r="AA27" s="173"/>
    </row>
    <row r="28" ht="15.75" customHeight="1">
      <c r="A28" s="182"/>
      <c r="B28" s="183">
        <v>-1.0</v>
      </c>
      <c r="C28" s="154"/>
      <c r="D28" s="152"/>
      <c r="E28" s="249"/>
      <c r="F28" s="210"/>
      <c r="G28" s="210"/>
      <c r="H28" s="243"/>
      <c r="I28" s="243"/>
      <c r="J28" s="210"/>
      <c r="K28" s="210"/>
      <c r="L28" s="185"/>
      <c r="M28" s="243"/>
      <c r="N28" s="185" t="s">
        <v>167</v>
      </c>
      <c r="O28" s="243"/>
      <c r="P28" s="243"/>
      <c r="Q28" s="243"/>
      <c r="R28" s="243"/>
      <c r="S28" s="243"/>
      <c r="T28" s="261"/>
      <c r="U28" s="161"/>
      <c r="V28" s="161"/>
      <c r="W28" s="161"/>
      <c r="X28" s="161"/>
      <c r="Y28" s="161"/>
      <c r="Z28" s="173"/>
      <c r="AA28" s="173"/>
    </row>
    <row r="29" ht="15.75" customHeight="1">
      <c r="A29" s="182"/>
      <c r="B29" s="183">
        <v>5.0</v>
      </c>
      <c r="C29" s="154"/>
      <c r="D29" s="152"/>
      <c r="E29" s="249"/>
      <c r="F29" s="210"/>
      <c r="G29" s="210"/>
      <c r="H29" s="243"/>
      <c r="I29" s="243"/>
      <c r="J29" s="210"/>
      <c r="K29" s="210"/>
      <c r="L29" s="210"/>
      <c r="M29" s="243"/>
      <c r="N29" s="243"/>
      <c r="O29" s="185" t="s">
        <v>167</v>
      </c>
      <c r="P29" s="243"/>
      <c r="Q29" s="243"/>
      <c r="R29" s="243"/>
      <c r="S29" s="243"/>
      <c r="T29" s="261"/>
      <c r="U29" s="161"/>
      <c r="V29" s="161"/>
      <c r="W29" s="161"/>
      <c r="X29" s="161"/>
      <c r="Y29" s="161"/>
      <c r="Z29" s="173"/>
      <c r="AA29" s="173"/>
    </row>
    <row r="30" ht="15.75" customHeight="1">
      <c r="A30" s="182"/>
      <c r="B30" s="206" t="s">
        <v>262</v>
      </c>
      <c r="C30" s="154"/>
      <c r="D30" s="152"/>
      <c r="E30" s="249"/>
      <c r="F30" s="210"/>
      <c r="G30" s="210"/>
      <c r="H30" s="243"/>
      <c r="I30" s="243"/>
      <c r="J30" s="210"/>
      <c r="K30" s="210"/>
      <c r="L30" s="210"/>
      <c r="M30" s="243"/>
      <c r="N30" s="243"/>
      <c r="O30" s="243"/>
      <c r="P30" s="243"/>
      <c r="Q30" s="243"/>
      <c r="R30" s="243"/>
      <c r="S30" s="243"/>
      <c r="T30" s="261"/>
      <c r="U30" s="161"/>
      <c r="V30" s="161"/>
      <c r="W30" s="161"/>
      <c r="X30" s="161"/>
      <c r="Y30" s="161"/>
      <c r="Z30" s="173"/>
      <c r="AA30" s="173"/>
    </row>
    <row r="31" ht="15.75" customHeight="1">
      <c r="A31" s="182"/>
      <c r="B31" s="183">
        <v>50.0</v>
      </c>
      <c r="C31" s="154"/>
      <c r="D31" s="152"/>
      <c r="E31" s="249"/>
      <c r="F31" s="185" t="s">
        <v>167</v>
      </c>
      <c r="G31" s="185" t="s">
        <v>167</v>
      </c>
      <c r="H31" s="185" t="s">
        <v>167</v>
      </c>
      <c r="I31" s="185" t="s">
        <v>167</v>
      </c>
      <c r="J31" s="212" t="s">
        <v>167</v>
      </c>
      <c r="K31" s="212" t="s">
        <v>167</v>
      </c>
      <c r="L31" s="212" t="s">
        <v>167</v>
      </c>
      <c r="M31" s="212" t="s">
        <v>167</v>
      </c>
      <c r="N31" s="185" t="s">
        <v>167</v>
      </c>
      <c r="O31" s="185" t="s">
        <v>167</v>
      </c>
      <c r="P31" s="238"/>
      <c r="Q31" s="238"/>
      <c r="R31" s="185" t="s">
        <v>167</v>
      </c>
      <c r="S31" s="185" t="s">
        <v>167</v>
      </c>
      <c r="T31" s="260"/>
      <c r="U31" s="161"/>
      <c r="V31" s="161"/>
      <c r="W31" s="161"/>
      <c r="X31" s="161"/>
      <c r="Y31" s="161"/>
      <c r="Z31" s="173"/>
      <c r="AA31" s="173"/>
    </row>
    <row r="32" ht="15.75" customHeight="1">
      <c r="A32" s="182"/>
      <c r="B32" s="183">
        <v>0.0</v>
      </c>
      <c r="C32" s="154"/>
      <c r="D32" s="152"/>
      <c r="E32" s="249"/>
      <c r="F32" s="210"/>
      <c r="G32" s="210"/>
      <c r="H32" s="243"/>
      <c r="I32" s="243"/>
      <c r="J32" s="210"/>
      <c r="K32" s="210"/>
      <c r="L32" s="210"/>
      <c r="M32" s="243"/>
      <c r="N32" s="243"/>
      <c r="O32" s="243"/>
      <c r="P32" s="185" t="s">
        <v>167</v>
      </c>
      <c r="Q32" s="243"/>
      <c r="R32" s="243"/>
      <c r="S32" s="243"/>
      <c r="T32" s="261"/>
      <c r="U32" s="161"/>
      <c r="V32" s="161"/>
      <c r="W32" s="161"/>
      <c r="X32" s="161"/>
      <c r="Y32" s="161"/>
      <c r="Z32" s="173"/>
      <c r="AA32" s="173"/>
    </row>
    <row r="33" ht="15.75" customHeight="1">
      <c r="A33" s="182"/>
      <c r="B33" s="183">
        <v>-1.0</v>
      </c>
      <c r="C33" s="154"/>
      <c r="D33" s="152"/>
      <c r="E33" s="249"/>
      <c r="F33" s="210"/>
      <c r="G33" s="210"/>
      <c r="H33" s="243"/>
      <c r="I33" s="243"/>
      <c r="J33" s="210"/>
      <c r="K33" s="210"/>
      <c r="L33" s="210"/>
      <c r="M33" s="243"/>
      <c r="N33" s="243"/>
      <c r="O33" s="243"/>
      <c r="P33" s="243"/>
      <c r="Q33" s="185" t="s">
        <v>167</v>
      </c>
      <c r="R33" s="243"/>
      <c r="S33" s="243"/>
      <c r="T33" s="261"/>
      <c r="U33" s="161"/>
      <c r="V33" s="161"/>
      <c r="W33" s="161"/>
      <c r="X33" s="161"/>
      <c r="Y33" s="161"/>
      <c r="Z33" s="173"/>
      <c r="AA33" s="173"/>
    </row>
    <row r="34" ht="15.75" customHeight="1">
      <c r="A34" s="182"/>
      <c r="B34" s="206" t="s">
        <v>263</v>
      </c>
      <c r="C34" s="154"/>
      <c r="D34" s="152"/>
      <c r="E34" s="249"/>
      <c r="F34" s="210"/>
      <c r="G34" s="210"/>
      <c r="H34" s="243"/>
      <c r="I34" s="243"/>
      <c r="J34" s="210"/>
      <c r="K34" s="210"/>
      <c r="L34" s="210"/>
      <c r="M34" s="243"/>
      <c r="N34" s="243"/>
      <c r="O34" s="243"/>
      <c r="P34" s="243"/>
      <c r="Q34" s="243"/>
      <c r="R34" s="243"/>
      <c r="S34" s="243"/>
      <c r="T34" s="261"/>
      <c r="U34" s="161"/>
      <c r="V34" s="161"/>
      <c r="W34" s="161"/>
      <c r="X34" s="161"/>
      <c r="Y34" s="161"/>
      <c r="Z34" s="173"/>
      <c r="AA34" s="173"/>
    </row>
    <row r="35" ht="15.75" customHeight="1">
      <c r="A35" s="182"/>
      <c r="B35" s="183">
        <v>1.0</v>
      </c>
      <c r="C35" s="154"/>
      <c r="D35" s="152"/>
      <c r="E35" s="249"/>
      <c r="F35" s="185" t="s">
        <v>167</v>
      </c>
      <c r="G35" s="185" t="s">
        <v>167</v>
      </c>
      <c r="H35" s="185" t="s">
        <v>167</v>
      </c>
      <c r="I35" s="185" t="s">
        <v>167</v>
      </c>
      <c r="J35" s="212" t="s">
        <v>167</v>
      </c>
      <c r="K35" s="212" t="s">
        <v>167</v>
      </c>
      <c r="L35" s="212" t="s">
        <v>167</v>
      </c>
      <c r="M35" s="212" t="s">
        <v>167</v>
      </c>
      <c r="N35" s="185" t="s">
        <v>167</v>
      </c>
      <c r="O35" s="185" t="s">
        <v>167</v>
      </c>
      <c r="P35" s="185" t="s">
        <v>167</v>
      </c>
      <c r="Q35" s="185" t="s">
        <v>167</v>
      </c>
      <c r="R35" s="238"/>
      <c r="S35" s="243"/>
      <c r="T35" s="261"/>
      <c r="U35" s="161"/>
      <c r="V35" s="161"/>
      <c r="W35" s="161"/>
      <c r="X35" s="161"/>
      <c r="Y35" s="161"/>
      <c r="Z35" s="173"/>
      <c r="AA35" s="173"/>
    </row>
    <row r="36" ht="15.75" customHeight="1">
      <c r="A36" s="182"/>
      <c r="B36" s="183">
        <v>0.0</v>
      </c>
      <c r="C36" s="154"/>
      <c r="D36" s="152"/>
      <c r="E36" s="249"/>
      <c r="F36" s="210"/>
      <c r="G36" s="210"/>
      <c r="H36" s="243"/>
      <c r="I36" s="243"/>
      <c r="J36" s="210"/>
      <c r="K36" s="210"/>
      <c r="L36" s="210"/>
      <c r="M36" s="243"/>
      <c r="N36" s="243"/>
      <c r="O36" s="243"/>
      <c r="P36" s="243"/>
      <c r="Q36" s="243"/>
      <c r="R36" s="185" t="s">
        <v>167</v>
      </c>
      <c r="S36" s="243"/>
      <c r="T36" s="261"/>
      <c r="U36" s="161"/>
      <c r="V36" s="161"/>
      <c r="W36" s="161"/>
      <c r="X36" s="161"/>
      <c r="Y36" s="161"/>
      <c r="Z36" s="173"/>
      <c r="AA36" s="173"/>
    </row>
    <row r="37" ht="15.75" customHeight="1">
      <c r="A37" s="192"/>
      <c r="B37" s="193">
        <v>-1.0</v>
      </c>
      <c r="C37" s="194"/>
      <c r="D37" s="195"/>
      <c r="E37" s="196"/>
      <c r="F37" s="197"/>
      <c r="G37" s="197"/>
      <c r="H37" s="239"/>
      <c r="I37" s="239"/>
      <c r="J37" s="197"/>
      <c r="K37" s="197"/>
      <c r="L37" s="197"/>
      <c r="M37" s="239"/>
      <c r="N37" s="239"/>
      <c r="O37" s="239"/>
      <c r="P37" s="239"/>
      <c r="Q37" s="239"/>
      <c r="R37" s="239"/>
      <c r="S37" s="198" t="s">
        <v>167</v>
      </c>
      <c r="T37" s="262"/>
      <c r="U37" s="161"/>
      <c r="V37" s="161"/>
      <c r="W37" s="161"/>
      <c r="X37" s="161"/>
      <c r="Y37" s="161"/>
      <c r="Z37" s="173"/>
      <c r="AA37" s="173"/>
    </row>
    <row r="38" ht="15.75" customHeight="1">
      <c r="A38" s="174" t="s">
        <v>183</v>
      </c>
      <c r="B38" s="201" t="s">
        <v>184</v>
      </c>
      <c r="D38" s="202"/>
      <c r="E38" s="203"/>
      <c r="F38" s="179"/>
      <c r="G38" s="179"/>
      <c r="H38" s="240"/>
      <c r="I38" s="240"/>
      <c r="J38" s="179"/>
      <c r="K38" s="179"/>
      <c r="L38" s="179"/>
      <c r="M38" s="240"/>
      <c r="N38" s="240"/>
      <c r="O38" s="240"/>
      <c r="P38" s="240"/>
      <c r="Q38" s="240"/>
      <c r="R38" s="240"/>
      <c r="S38" s="240"/>
      <c r="T38" s="263"/>
      <c r="U38" s="161"/>
      <c r="V38" s="161"/>
      <c r="W38" s="161"/>
      <c r="X38" s="161"/>
      <c r="Y38" s="161"/>
      <c r="Z38" s="173"/>
      <c r="AA38" s="173"/>
    </row>
    <row r="39" ht="15.75" customHeight="1">
      <c r="A39" s="182"/>
      <c r="B39" s="204" t="b">
        <v>1</v>
      </c>
      <c r="C39" s="154"/>
      <c r="D39" s="152"/>
      <c r="E39" s="184"/>
      <c r="F39" s="185" t="s">
        <v>167</v>
      </c>
      <c r="G39" s="188"/>
      <c r="H39" s="238"/>
      <c r="I39" s="238"/>
      <c r="J39" s="188"/>
      <c r="K39" s="188"/>
      <c r="L39" s="188"/>
      <c r="M39" s="238"/>
      <c r="N39" s="238"/>
      <c r="O39" s="238"/>
      <c r="P39" s="238"/>
      <c r="Q39" s="238"/>
      <c r="R39" s="238"/>
      <c r="S39" s="238"/>
      <c r="T39" s="208"/>
      <c r="U39" s="161"/>
      <c r="V39" s="161"/>
      <c r="W39" s="161"/>
      <c r="X39" s="161"/>
      <c r="Y39" s="161"/>
      <c r="Z39" s="173"/>
      <c r="AA39" s="173"/>
    </row>
    <row r="40" ht="15.75" customHeight="1">
      <c r="A40" s="182"/>
      <c r="B40" s="204" t="b">
        <v>0</v>
      </c>
      <c r="C40" s="154"/>
      <c r="D40" s="152"/>
      <c r="E40" s="184"/>
      <c r="F40" s="188"/>
      <c r="G40" s="188"/>
      <c r="H40" s="185" t="s">
        <v>167</v>
      </c>
      <c r="I40" s="238"/>
      <c r="J40" s="185"/>
      <c r="K40" s="185"/>
      <c r="L40" s="185" t="s">
        <v>167</v>
      </c>
      <c r="M40" s="185" t="s">
        <v>167</v>
      </c>
      <c r="N40" s="185"/>
      <c r="O40" s="185" t="s">
        <v>167</v>
      </c>
      <c r="P40" s="185" t="s">
        <v>167</v>
      </c>
      <c r="Q40" s="185" t="s">
        <v>167</v>
      </c>
      <c r="R40" s="185" t="s">
        <v>167</v>
      </c>
      <c r="S40" s="185"/>
      <c r="T40" s="260"/>
      <c r="U40" s="161"/>
      <c r="V40" s="161"/>
      <c r="W40" s="161"/>
      <c r="X40" s="161"/>
      <c r="Y40" s="161"/>
      <c r="Z40" s="173"/>
      <c r="AA40" s="173"/>
    </row>
    <row r="41" ht="15.75" customHeight="1">
      <c r="A41" s="182"/>
      <c r="B41" s="206" t="s">
        <v>185</v>
      </c>
      <c r="C41" s="154"/>
      <c r="D41" s="152"/>
      <c r="E41" s="207"/>
      <c r="F41" s="188"/>
      <c r="G41" s="188"/>
      <c r="H41" s="238"/>
      <c r="I41" s="238"/>
      <c r="J41" s="188"/>
      <c r="K41" s="188"/>
      <c r="L41" s="188"/>
      <c r="M41" s="238"/>
      <c r="N41" s="238"/>
      <c r="O41" s="238"/>
      <c r="P41" s="238"/>
      <c r="Q41" s="238"/>
      <c r="R41" s="238"/>
      <c r="S41" s="238"/>
      <c r="T41" s="208"/>
      <c r="U41" s="161"/>
      <c r="V41" s="161"/>
      <c r="W41" s="161"/>
      <c r="X41" s="161"/>
      <c r="Y41" s="161"/>
      <c r="Z41" s="173"/>
      <c r="AA41" s="173"/>
    </row>
    <row r="42" ht="15.75" customHeight="1">
      <c r="A42" s="182"/>
      <c r="B42" s="183" t="s">
        <v>221</v>
      </c>
      <c r="C42" s="154"/>
      <c r="D42" s="152"/>
      <c r="E42" s="207"/>
      <c r="F42" s="188"/>
      <c r="G42" s="185" t="s">
        <v>167</v>
      </c>
      <c r="H42" s="238"/>
      <c r="I42" s="243"/>
      <c r="J42" s="188"/>
      <c r="K42" s="188"/>
      <c r="L42" s="188"/>
      <c r="M42" s="238"/>
      <c r="N42" s="238"/>
      <c r="O42" s="238"/>
      <c r="P42" s="238"/>
      <c r="Q42" s="238"/>
      <c r="R42" s="238"/>
      <c r="S42" s="238"/>
      <c r="T42" s="208"/>
      <c r="U42" s="161"/>
      <c r="V42" s="161"/>
      <c r="W42" s="161"/>
      <c r="X42" s="161"/>
      <c r="Y42" s="161"/>
      <c r="Z42" s="173"/>
      <c r="AA42" s="173"/>
    </row>
    <row r="43" ht="15.75" customHeight="1">
      <c r="A43" s="182"/>
      <c r="B43" s="183" t="s">
        <v>186</v>
      </c>
      <c r="C43" s="154"/>
      <c r="D43" s="152"/>
      <c r="E43" s="207"/>
      <c r="F43" s="188"/>
      <c r="G43" s="185"/>
      <c r="H43" s="238"/>
      <c r="I43" s="185" t="s">
        <v>167</v>
      </c>
      <c r="J43" s="212" t="s">
        <v>167</v>
      </c>
      <c r="K43" s="212" t="s">
        <v>167</v>
      </c>
      <c r="L43" s="188"/>
      <c r="M43" s="185"/>
      <c r="N43" s="185" t="s">
        <v>167</v>
      </c>
      <c r="O43" s="238"/>
      <c r="P43" s="238"/>
      <c r="Q43" s="185"/>
      <c r="R43" s="238"/>
      <c r="S43" s="185" t="s">
        <v>167</v>
      </c>
      <c r="T43" s="260"/>
      <c r="U43" s="161"/>
      <c r="V43" s="161"/>
      <c r="W43" s="161"/>
      <c r="X43" s="161"/>
      <c r="Y43" s="161"/>
      <c r="Z43" s="173"/>
      <c r="AA43" s="173"/>
    </row>
    <row r="44" ht="15.75" customHeight="1">
      <c r="A44" s="182"/>
      <c r="B44" s="206" t="s">
        <v>187</v>
      </c>
      <c r="C44" s="154"/>
      <c r="D44" s="152"/>
      <c r="E44" s="184"/>
      <c r="F44" s="209"/>
      <c r="G44" s="209"/>
      <c r="H44" s="242"/>
      <c r="I44" s="242"/>
      <c r="J44" s="209"/>
      <c r="K44" s="209"/>
      <c r="L44" s="209"/>
      <c r="M44" s="242"/>
      <c r="N44" s="242"/>
      <c r="O44" s="242"/>
      <c r="P44" s="242"/>
      <c r="Q44" s="242"/>
      <c r="R44" s="242"/>
      <c r="S44" s="242"/>
      <c r="T44" s="264"/>
      <c r="U44" s="161"/>
      <c r="V44" s="161"/>
      <c r="W44" s="161"/>
      <c r="X44" s="161"/>
      <c r="Y44" s="161"/>
      <c r="Z44" s="173"/>
      <c r="AA44" s="173"/>
    </row>
    <row r="45" ht="15.75" customHeight="1">
      <c r="A45" s="182"/>
      <c r="B45" s="183" t="s">
        <v>222</v>
      </c>
      <c r="C45" s="154"/>
      <c r="D45" s="152"/>
      <c r="E45" s="184"/>
      <c r="F45" s="210"/>
      <c r="G45" s="212" t="s">
        <v>167</v>
      </c>
      <c r="H45" s="243"/>
      <c r="I45" s="243"/>
      <c r="J45" s="210"/>
      <c r="K45" s="210"/>
      <c r="L45" s="210"/>
      <c r="M45" s="243"/>
      <c r="N45" s="243"/>
      <c r="O45" s="243"/>
      <c r="P45" s="243"/>
      <c r="Q45" s="243"/>
      <c r="R45" s="243"/>
      <c r="S45" s="243"/>
      <c r="T45" s="261"/>
      <c r="U45" s="161"/>
      <c r="V45" s="161"/>
      <c r="W45" s="161"/>
      <c r="X45" s="161"/>
      <c r="Y45" s="161"/>
      <c r="Z45" s="173"/>
      <c r="AA45" s="173"/>
    </row>
    <row r="46" ht="15.75" customHeight="1">
      <c r="A46" s="182"/>
      <c r="B46" s="183" t="s">
        <v>226</v>
      </c>
      <c r="C46" s="154"/>
      <c r="D46" s="152"/>
      <c r="E46" s="184"/>
      <c r="F46" s="188"/>
      <c r="G46" s="185"/>
      <c r="H46" s="238"/>
      <c r="I46" s="238"/>
      <c r="J46" s="188"/>
      <c r="K46" s="188"/>
      <c r="L46" s="188"/>
      <c r="M46" s="238"/>
      <c r="N46" s="238"/>
      <c r="O46" s="238"/>
      <c r="P46" s="238"/>
      <c r="Q46" s="238"/>
      <c r="R46" s="238"/>
      <c r="S46" s="238"/>
      <c r="T46" s="208"/>
      <c r="U46" s="161"/>
      <c r="V46" s="161"/>
      <c r="W46" s="161"/>
      <c r="X46" s="161"/>
      <c r="Y46" s="161"/>
      <c r="Z46" s="173"/>
      <c r="AA46" s="173"/>
    </row>
    <row r="47" ht="15.75" customHeight="1">
      <c r="A47" s="182"/>
      <c r="B47" s="183" t="s">
        <v>230</v>
      </c>
      <c r="C47" s="154"/>
      <c r="D47" s="152"/>
      <c r="E47" s="249"/>
      <c r="F47" s="210"/>
      <c r="G47" s="212"/>
      <c r="H47" s="243"/>
      <c r="I47" s="185" t="s">
        <v>167</v>
      </c>
      <c r="J47" s="212"/>
      <c r="K47" s="210"/>
      <c r="L47" s="210"/>
      <c r="M47" s="243"/>
      <c r="N47" s="243"/>
      <c r="O47" s="243"/>
      <c r="P47" s="243"/>
      <c r="Q47" s="243"/>
      <c r="R47" s="243"/>
      <c r="S47" s="243"/>
      <c r="T47" s="261"/>
      <c r="U47" s="161"/>
      <c r="V47" s="161"/>
      <c r="W47" s="161"/>
      <c r="X47" s="161"/>
      <c r="Y47" s="161"/>
      <c r="Z47" s="173"/>
      <c r="AA47" s="173"/>
    </row>
    <row r="48" ht="15.75" customHeight="1">
      <c r="A48" s="182"/>
      <c r="B48" s="183" t="s">
        <v>264</v>
      </c>
      <c r="C48" s="154"/>
      <c r="D48" s="152"/>
      <c r="E48" s="249"/>
      <c r="F48" s="210"/>
      <c r="G48" s="212"/>
      <c r="H48" s="243"/>
      <c r="I48" s="243"/>
      <c r="J48" s="212" t="s">
        <v>167</v>
      </c>
      <c r="K48" s="212" t="s">
        <v>167</v>
      </c>
      <c r="L48" s="210"/>
      <c r="M48" s="243"/>
      <c r="N48" s="243"/>
      <c r="O48" s="243"/>
      <c r="P48" s="243"/>
      <c r="Q48" s="243"/>
      <c r="R48" s="243"/>
      <c r="S48" s="243"/>
      <c r="T48" s="261"/>
      <c r="U48" s="161"/>
      <c r="V48" s="161"/>
      <c r="W48" s="161"/>
      <c r="X48" s="161"/>
      <c r="Y48" s="161"/>
      <c r="Z48" s="173"/>
      <c r="AA48" s="173"/>
    </row>
    <row r="49" ht="15.75" customHeight="1">
      <c r="A49" s="182"/>
      <c r="B49" s="183" t="s">
        <v>265</v>
      </c>
      <c r="C49" s="154"/>
      <c r="D49" s="152"/>
      <c r="E49" s="249"/>
      <c r="F49" s="210"/>
      <c r="G49" s="212"/>
      <c r="H49" s="212" t="s">
        <v>167</v>
      </c>
      <c r="I49" s="243"/>
      <c r="J49" s="210"/>
      <c r="K49" s="210"/>
      <c r="L49" s="210"/>
      <c r="M49" s="243"/>
      <c r="N49" s="243"/>
      <c r="O49" s="243"/>
      <c r="P49" s="243"/>
      <c r="Q49" s="243"/>
      <c r="R49" s="243"/>
      <c r="S49" s="243"/>
      <c r="T49" s="261"/>
      <c r="U49" s="161"/>
      <c r="V49" s="161"/>
      <c r="W49" s="161"/>
      <c r="X49" s="161"/>
      <c r="Y49" s="161"/>
      <c r="Z49" s="173"/>
      <c r="AA49" s="173"/>
    </row>
    <row r="50" ht="15.75" customHeight="1">
      <c r="A50" s="182"/>
      <c r="B50" s="183" t="s">
        <v>253</v>
      </c>
      <c r="C50" s="154"/>
      <c r="D50" s="152"/>
      <c r="E50" s="249"/>
      <c r="F50" s="210"/>
      <c r="G50" s="212"/>
      <c r="H50" s="243"/>
      <c r="I50" s="243"/>
      <c r="J50" s="210"/>
      <c r="K50" s="210"/>
      <c r="L50" s="210"/>
      <c r="M50" s="243"/>
      <c r="N50" s="243"/>
      <c r="O50" s="243"/>
      <c r="P50" s="243"/>
      <c r="Q50" s="243"/>
      <c r="R50" s="243"/>
      <c r="S50" s="243"/>
      <c r="T50" s="261"/>
      <c r="U50" s="161"/>
      <c r="V50" s="161"/>
      <c r="W50" s="161"/>
      <c r="X50" s="161"/>
      <c r="Y50" s="161"/>
      <c r="Z50" s="173"/>
      <c r="AA50" s="173"/>
    </row>
    <row r="51" ht="15.75" customHeight="1">
      <c r="A51" s="182"/>
      <c r="B51" s="183" t="s">
        <v>266</v>
      </c>
      <c r="C51" s="154"/>
      <c r="D51" s="152"/>
      <c r="E51" s="249"/>
      <c r="F51" s="210"/>
      <c r="G51" s="212"/>
      <c r="H51" s="243"/>
      <c r="I51" s="243"/>
      <c r="J51" s="212"/>
      <c r="K51" s="210"/>
      <c r="L51" s="212" t="s">
        <v>167</v>
      </c>
      <c r="M51" s="243"/>
      <c r="N51" s="243"/>
      <c r="O51" s="243"/>
      <c r="P51" s="243"/>
      <c r="Q51" s="243"/>
      <c r="R51" s="243"/>
      <c r="S51" s="243"/>
      <c r="T51" s="261"/>
      <c r="U51" s="161"/>
      <c r="V51" s="161"/>
      <c r="W51" s="161"/>
      <c r="X51" s="161"/>
      <c r="Y51" s="161"/>
      <c r="Z51" s="173"/>
      <c r="AA51" s="173"/>
    </row>
    <row r="52" ht="15.75" customHeight="1">
      <c r="A52" s="182"/>
      <c r="B52" s="204" t="s">
        <v>255</v>
      </c>
      <c r="C52" s="154"/>
      <c r="D52" s="152"/>
      <c r="E52" s="249"/>
      <c r="F52" s="210"/>
      <c r="G52" s="212"/>
      <c r="H52" s="243"/>
      <c r="I52" s="243"/>
      <c r="J52" s="212"/>
      <c r="K52" s="210"/>
      <c r="L52" s="212"/>
      <c r="M52" s="243"/>
      <c r="N52" s="243"/>
      <c r="O52" s="185" t="s">
        <v>167</v>
      </c>
      <c r="P52" s="243"/>
      <c r="Q52" s="243"/>
      <c r="R52" s="243"/>
      <c r="S52" s="243"/>
      <c r="T52" s="261"/>
      <c r="U52" s="161"/>
      <c r="V52" s="161"/>
      <c r="W52" s="161"/>
      <c r="X52" s="161"/>
      <c r="Y52" s="161"/>
      <c r="Z52" s="173"/>
    </row>
    <row r="53" ht="15.75" customHeight="1">
      <c r="A53" s="182"/>
      <c r="B53" s="204" t="s">
        <v>267</v>
      </c>
      <c r="C53" s="154"/>
      <c r="D53" s="152"/>
      <c r="E53" s="249"/>
      <c r="F53" s="210"/>
      <c r="G53" s="212"/>
      <c r="H53" s="243"/>
      <c r="I53" s="243"/>
      <c r="J53" s="212"/>
      <c r="K53" s="210"/>
      <c r="L53" s="212"/>
      <c r="M53" s="185" t="s">
        <v>167</v>
      </c>
      <c r="N53" s="185" t="s">
        <v>167</v>
      </c>
      <c r="O53" s="212"/>
      <c r="P53" s="212"/>
      <c r="Q53" s="212"/>
      <c r="R53" s="243"/>
      <c r="S53" s="243"/>
      <c r="T53" s="261"/>
      <c r="U53" s="161"/>
      <c r="V53" s="161"/>
      <c r="W53" s="161"/>
      <c r="X53" s="161"/>
      <c r="Y53" s="161"/>
    </row>
    <row r="54" ht="15.75" customHeight="1">
      <c r="A54" s="182"/>
      <c r="B54" s="204" t="s">
        <v>268</v>
      </c>
      <c r="C54" s="154"/>
      <c r="D54" s="152"/>
      <c r="E54" s="249"/>
      <c r="F54" s="210"/>
      <c r="G54" s="212"/>
      <c r="H54" s="243"/>
      <c r="I54" s="243"/>
      <c r="J54" s="212"/>
      <c r="K54" s="210"/>
      <c r="L54" s="212"/>
      <c r="M54" s="243"/>
      <c r="N54" s="243"/>
      <c r="O54" s="212"/>
      <c r="P54" s="185" t="s">
        <v>167</v>
      </c>
      <c r="Q54" s="185" t="s">
        <v>167</v>
      </c>
      <c r="R54" s="243"/>
      <c r="S54" s="243"/>
      <c r="T54" s="261"/>
      <c r="U54" s="161"/>
      <c r="V54" s="161"/>
      <c r="W54" s="161"/>
      <c r="X54" s="161"/>
      <c r="Y54" s="161"/>
      <c r="Z54" s="173"/>
    </row>
    <row r="55" ht="15.75" customHeight="1">
      <c r="A55" s="182"/>
      <c r="B55" s="256" t="s">
        <v>269</v>
      </c>
      <c r="C55" s="214"/>
      <c r="D55" s="215"/>
      <c r="E55" s="216"/>
      <c r="F55" s="217"/>
      <c r="G55" s="217"/>
      <c r="H55" s="239"/>
      <c r="I55" s="244"/>
      <c r="J55" s="218"/>
      <c r="K55" s="218"/>
      <c r="L55" s="218"/>
      <c r="M55" s="244"/>
      <c r="N55" s="244"/>
      <c r="O55" s="244"/>
      <c r="P55" s="244"/>
      <c r="Q55" s="244"/>
      <c r="R55" s="218" t="s">
        <v>167</v>
      </c>
      <c r="S55" s="218" t="s">
        <v>167</v>
      </c>
      <c r="T55" s="265"/>
      <c r="U55" s="161"/>
      <c r="V55" s="161"/>
      <c r="W55" s="161"/>
      <c r="X55" s="161"/>
      <c r="Y55" s="161"/>
      <c r="Z55" s="173"/>
      <c r="AA55" s="173"/>
    </row>
    <row r="56" ht="15.75" customHeight="1">
      <c r="A56" s="220" t="s">
        <v>196</v>
      </c>
      <c r="B56" s="221" t="s">
        <v>197</v>
      </c>
      <c r="C56" s="176"/>
      <c r="D56" s="177"/>
      <c r="E56" s="178"/>
      <c r="F56" s="222" t="s">
        <v>137</v>
      </c>
      <c r="G56" s="222" t="s">
        <v>61</v>
      </c>
      <c r="H56" s="222" t="s">
        <v>61</v>
      </c>
      <c r="I56" s="222" t="s">
        <v>61</v>
      </c>
      <c r="J56" s="222" t="s">
        <v>61</v>
      </c>
      <c r="K56" s="222" t="s">
        <v>61</v>
      </c>
      <c r="L56" s="222" t="s">
        <v>138</v>
      </c>
      <c r="M56" s="222" t="s">
        <v>138</v>
      </c>
      <c r="N56" s="222" t="s">
        <v>138</v>
      </c>
      <c r="O56" s="222" t="s">
        <v>61</v>
      </c>
      <c r="P56" s="222" t="s">
        <v>61</v>
      </c>
      <c r="Q56" s="222" t="s">
        <v>61</v>
      </c>
      <c r="R56" s="222" t="s">
        <v>138</v>
      </c>
      <c r="S56" s="266" t="s">
        <v>138</v>
      </c>
      <c r="T56" s="267"/>
      <c r="U56" s="161"/>
      <c r="V56" s="161"/>
      <c r="W56" s="161"/>
      <c r="X56" s="161"/>
      <c r="Y56" s="161"/>
      <c r="Z56" s="173"/>
      <c r="AA56" s="173"/>
    </row>
    <row r="57" ht="15.75" customHeight="1">
      <c r="A57" s="182"/>
      <c r="B57" s="221" t="s">
        <v>198</v>
      </c>
      <c r="C57" s="176"/>
      <c r="D57" s="177"/>
      <c r="E57" s="184"/>
      <c r="F57" s="225" t="s">
        <v>199</v>
      </c>
      <c r="G57" s="257" t="s">
        <v>199</v>
      </c>
      <c r="H57" s="268" t="s">
        <v>199</v>
      </c>
      <c r="I57" s="268" t="s">
        <v>199</v>
      </c>
      <c r="J57" s="257" t="s">
        <v>199</v>
      </c>
      <c r="K57" s="257" t="s">
        <v>199</v>
      </c>
      <c r="L57" s="257" t="s">
        <v>199</v>
      </c>
      <c r="M57" s="257" t="s">
        <v>199</v>
      </c>
      <c r="N57" s="257" t="s">
        <v>199</v>
      </c>
      <c r="O57" s="257" t="s">
        <v>199</v>
      </c>
      <c r="P57" s="257" t="s">
        <v>199</v>
      </c>
      <c r="Q57" s="257" t="s">
        <v>199</v>
      </c>
      <c r="R57" s="257" t="s">
        <v>199</v>
      </c>
      <c r="S57" s="225" t="s">
        <v>199</v>
      </c>
      <c r="T57" s="226"/>
      <c r="U57" s="161"/>
      <c r="V57" s="161"/>
      <c r="W57" s="161"/>
      <c r="X57" s="161"/>
      <c r="Y57" s="161"/>
      <c r="Z57" s="173"/>
      <c r="AA57" s="173"/>
    </row>
    <row r="58" ht="15.75" customHeight="1">
      <c r="A58" s="182"/>
      <c r="B58" s="221" t="s">
        <v>200</v>
      </c>
      <c r="C58" s="176"/>
      <c r="D58" s="177"/>
      <c r="E58" s="184"/>
      <c r="F58" s="228">
        <v>45959.0</v>
      </c>
      <c r="G58" s="228">
        <v>45959.0</v>
      </c>
      <c r="H58" s="228">
        <v>45959.0</v>
      </c>
      <c r="I58" s="228">
        <v>45959.0</v>
      </c>
      <c r="J58" s="228">
        <v>45959.0</v>
      </c>
      <c r="K58" s="228">
        <v>45959.0</v>
      </c>
      <c r="L58" s="228">
        <v>45959.0</v>
      </c>
      <c r="M58" s="228">
        <v>45959.0</v>
      </c>
      <c r="N58" s="228">
        <v>45959.0</v>
      </c>
      <c r="O58" s="228">
        <v>45959.0</v>
      </c>
      <c r="P58" s="228">
        <v>45959.0</v>
      </c>
      <c r="Q58" s="228">
        <v>45959.0</v>
      </c>
      <c r="R58" s="228">
        <v>45959.0</v>
      </c>
      <c r="S58" s="228">
        <v>45959.0</v>
      </c>
      <c r="T58" s="269"/>
      <c r="U58" s="161"/>
      <c r="V58" s="161"/>
      <c r="W58" s="161"/>
      <c r="X58" s="161"/>
      <c r="Y58" s="161"/>
    </row>
    <row r="59" ht="15.75" customHeight="1">
      <c r="A59" s="182"/>
      <c r="B59" s="230" t="s">
        <v>201</v>
      </c>
      <c r="C59" s="231"/>
      <c r="D59" s="232"/>
      <c r="E59" s="233"/>
      <c r="F59" s="217"/>
      <c r="G59" s="217"/>
      <c r="H59" s="217"/>
      <c r="I59" s="234"/>
      <c r="J59" s="234"/>
      <c r="K59" s="234"/>
      <c r="L59" s="234"/>
      <c r="M59" s="270"/>
      <c r="N59" s="270"/>
      <c r="O59" s="271"/>
      <c r="P59" s="270"/>
      <c r="Q59" s="270"/>
      <c r="R59" s="270"/>
      <c r="S59" s="272"/>
      <c r="T59" s="273"/>
      <c r="U59" s="161"/>
      <c r="V59" s="161"/>
      <c r="W59" s="161"/>
      <c r="X59" s="161"/>
      <c r="Y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>
      <c r="A240" s="161"/>
      <c r="B240" s="161"/>
      <c r="C240" s="161"/>
      <c r="D240" s="161"/>
      <c r="E240" s="169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 ht="15.75" customHeight="1">
      <c r="A241" s="161"/>
      <c r="B241" s="161"/>
      <c r="C241" s="161"/>
      <c r="D241" s="161"/>
      <c r="E241" s="169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 ht="15.75" customHeight="1">
      <c r="A242" s="161"/>
      <c r="B242" s="161"/>
      <c r="C242" s="161"/>
      <c r="D242" s="161"/>
      <c r="E242" s="169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 ht="15.75" customHeight="1">
      <c r="A243" s="161"/>
      <c r="B243" s="161"/>
      <c r="C243" s="161"/>
      <c r="D243" s="161"/>
      <c r="E243" s="169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</row>
    <row r="244" ht="15.75" customHeight="1">
      <c r="A244" s="161"/>
      <c r="B244" s="161"/>
      <c r="C244" s="161"/>
      <c r="D244" s="161"/>
      <c r="E244" s="169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</row>
    <row r="245" ht="15.75" customHeight="1">
      <c r="A245" s="161"/>
      <c r="B245" s="161"/>
      <c r="C245" s="161"/>
      <c r="D245" s="161"/>
      <c r="E245" s="169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</row>
    <row r="246" ht="15.75" customHeight="1">
      <c r="A246" s="161"/>
      <c r="B246" s="161"/>
      <c r="C246" s="161"/>
      <c r="D246" s="161"/>
      <c r="E246" s="169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</row>
    <row r="247" ht="15.75" customHeight="1">
      <c r="A247" s="161"/>
      <c r="B247" s="161"/>
      <c r="C247" s="161"/>
      <c r="D247" s="161"/>
      <c r="E247" s="169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</row>
    <row r="248" ht="15.75" customHeight="1">
      <c r="A248" s="161"/>
      <c r="B248" s="161"/>
      <c r="C248" s="161"/>
      <c r="D248" s="161"/>
      <c r="E248" s="169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</row>
    <row r="249" ht="15.75" customHeight="1">
      <c r="A249" s="161"/>
      <c r="B249" s="161"/>
      <c r="C249" s="161"/>
      <c r="D249" s="161"/>
      <c r="E249" s="169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</row>
    <row r="250" ht="15.75" customHeight="1">
      <c r="A250" s="161"/>
      <c r="B250" s="161"/>
      <c r="C250" s="161"/>
      <c r="D250" s="161"/>
      <c r="E250" s="169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</row>
    <row r="251" ht="15.75" customHeight="1">
      <c r="A251" s="161"/>
      <c r="B251" s="161"/>
      <c r="C251" s="161"/>
      <c r="D251" s="161"/>
      <c r="E251" s="169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</row>
    <row r="252" ht="15.75" customHeight="1">
      <c r="A252" s="161"/>
      <c r="B252" s="161"/>
      <c r="C252" s="161"/>
      <c r="D252" s="161"/>
      <c r="E252" s="169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</row>
    <row r="253" ht="15.75" customHeight="1">
      <c r="A253" s="161"/>
      <c r="B253" s="161"/>
      <c r="C253" s="161"/>
      <c r="D253" s="161"/>
      <c r="E253" s="169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</row>
    <row r="254" ht="15.75" customHeight="1">
      <c r="A254" s="161"/>
      <c r="B254" s="161"/>
      <c r="C254" s="161"/>
      <c r="D254" s="161"/>
      <c r="E254" s="169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</row>
    <row r="255" ht="15.75" customHeight="1">
      <c r="A255" s="161"/>
      <c r="B255" s="161"/>
      <c r="C255" s="161"/>
      <c r="D255" s="161"/>
      <c r="E255" s="169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</row>
    <row r="256" ht="15.75" customHeight="1">
      <c r="A256" s="161"/>
      <c r="B256" s="161"/>
      <c r="C256" s="161"/>
      <c r="D256" s="161"/>
      <c r="E256" s="169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</row>
    <row r="257" ht="15.75" customHeight="1">
      <c r="A257" s="161"/>
      <c r="B257" s="161"/>
      <c r="C257" s="161"/>
      <c r="D257" s="161"/>
      <c r="E257" s="169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</row>
    <row r="258" ht="15.75" customHeight="1">
      <c r="A258" s="161"/>
      <c r="B258" s="161"/>
      <c r="C258" s="161"/>
      <c r="D258" s="161"/>
      <c r="E258" s="169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</row>
    <row r="259" ht="15.75" customHeight="1">
      <c r="A259" s="161"/>
      <c r="B259" s="161"/>
      <c r="C259" s="161"/>
      <c r="D259" s="161"/>
      <c r="E259" s="169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1">
    <mergeCell ref="B39:D39"/>
    <mergeCell ref="B40:D40"/>
    <mergeCell ref="B41:D41"/>
    <mergeCell ref="B42:D42"/>
    <mergeCell ref="B43:D43"/>
    <mergeCell ref="B44:D44"/>
    <mergeCell ref="B45:D45"/>
    <mergeCell ref="B53:D53"/>
    <mergeCell ref="B54:D54"/>
    <mergeCell ref="B55:D55"/>
    <mergeCell ref="B56:D56"/>
    <mergeCell ref="B57:D57"/>
    <mergeCell ref="B58:D58"/>
    <mergeCell ref="B59:D59"/>
    <mergeCell ref="B46:D46"/>
    <mergeCell ref="B47:D47"/>
    <mergeCell ref="B48:D48"/>
    <mergeCell ref="B49:D49"/>
    <mergeCell ref="B50:D50"/>
    <mergeCell ref="B51:D51"/>
    <mergeCell ref="B52:D52"/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dataValidations>
    <dataValidation type="list" allowBlank="1" showInputMessage="1" showErrorMessage="1" prompt=" - " sqref="F8:T55">
      <formula1>"O"</formula1>
    </dataValidation>
    <dataValidation type="list" allowBlank="1" showInputMessage="1" showErrorMessage="1" prompt="Nhấp và nhập một giá trị từ danh sách các mục" sqref="F57:T57">
      <formula1>"P,F,N/A"</formula1>
    </dataValidation>
    <dataValidation type="list" allowBlank="1" showInputMessage="1" showErrorMessage="1" prompt="Click and enter a value from the list of items" sqref="F56:T56">
      <formula1>"A,B,N"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73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COUNTIF(F40:HU40,"P")</f>
        <v>9</v>
      </c>
      <c r="B5" s="165"/>
      <c r="C5" s="164">
        <f>COUNTIF(H40:HW40,"F")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COUNTIF(E39:HU39,"N")</f>
        <v>1</v>
      </c>
      <c r="M5" s="168">
        <f>COUNTIF(F39:HV39,"A")</f>
        <v>4</v>
      </c>
      <c r="N5" s="168">
        <f>COUNTIF(G39:HW39,"B")</f>
        <v>4</v>
      </c>
      <c r="O5" s="167">
        <f>COUNTA(F7:HX7)</f>
        <v>9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 t="s">
        <v>160</v>
      </c>
      <c r="N7" s="171" t="s">
        <v>161</v>
      </c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 t="s">
        <v>167</v>
      </c>
      <c r="J9" s="185" t="s">
        <v>167</v>
      </c>
      <c r="K9" s="185" t="s">
        <v>167</v>
      </c>
      <c r="L9" s="185" t="s">
        <v>167</v>
      </c>
      <c r="M9" s="185" t="s">
        <v>167</v>
      </c>
      <c r="N9" s="185" t="s">
        <v>167</v>
      </c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 t="s">
        <v>167</v>
      </c>
      <c r="I10" s="185" t="s">
        <v>167</v>
      </c>
      <c r="J10" s="185" t="s">
        <v>167</v>
      </c>
      <c r="K10" s="185" t="s">
        <v>167</v>
      </c>
      <c r="L10" s="185" t="s">
        <v>167</v>
      </c>
      <c r="M10" s="185" t="s">
        <v>167</v>
      </c>
      <c r="N10" s="185" t="s">
        <v>167</v>
      </c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206" t="s">
        <v>247</v>
      </c>
      <c r="C11" s="154"/>
      <c r="D11" s="152"/>
      <c r="E11" s="184"/>
      <c r="F11" s="188"/>
      <c r="G11" s="238"/>
      <c r="H11" s="238"/>
      <c r="I11" s="238"/>
      <c r="J11" s="238"/>
      <c r="K11" s="238"/>
      <c r="L11" s="238"/>
      <c r="M11" s="238"/>
      <c r="N11" s="23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5" t="s">
        <v>167</v>
      </c>
      <c r="I12" s="185" t="s">
        <v>167</v>
      </c>
      <c r="J12" s="185" t="s">
        <v>167</v>
      </c>
      <c r="K12" s="185" t="s">
        <v>167</v>
      </c>
      <c r="L12" s="185" t="s">
        <v>167</v>
      </c>
      <c r="M12" s="185" t="s">
        <v>167</v>
      </c>
      <c r="N12" s="185" t="s">
        <v>167</v>
      </c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82"/>
      <c r="B13" s="183" t="s">
        <v>249</v>
      </c>
      <c r="C13" s="154"/>
      <c r="D13" s="152"/>
      <c r="E13" s="249"/>
      <c r="F13" s="210"/>
      <c r="G13" s="258" t="s">
        <v>167</v>
      </c>
      <c r="H13" s="243"/>
      <c r="I13" s="243"/>
      <c r="J13" s="243"/>
      <c r="K13" s="243"/>
      <c r="L13" s="243"/>
      <c r="M13" s="243"/>
      <c r="N13" s="243"/>
      <c r="O13" s="210"/>
      <c r="P13" s="210"/>
      <c r="Q13" s="210"/>
      <c r="R13" s="210"/>
      <c r="S13" s="243"/>
      <c r="T13" s="261"/>
      <c r="U13" s="159"/>
      <c r="V13" s="159"/>
      <c r="W13" s="159"/>
      <c r="X13" s="159"/>
      <c r="Y13" s="159"/>
    </row>
    <row r="14">
      <c r="A14" s="182"/>
      <c r="B14" s="206" t="s">
        <v>251</v>
      </c>
      <c r="C14" s="154"/>
      <c r="D14" s="152"/>
      <c r="E14" s="249"/>
      <c r="F14" s="210"/>
      <c r="G14" s="243"/>
      <c r="H14" s="243"/>
      <c r="I14" s="243"/>
      <c r="J14" s="243"/>
      <c r="K14" s="243"/>
      <c r="L14" s="243"/>
      <c r="M14" s="243"/>
      <c r="N14" s="243"/>
      <c r="O14" s="210"/>
      <c r="P14" s="210"/>
      <c r="Q14" s="210"/>
      <c r="R14" s="210"/>
      <c r="S14" s="243"/>
      <c r="T14" s="261"/>
      <c r="U14" s="159"/>
      <c r="V14" s="159"/>
      <c r="W14" s="159"/>
      <c r="X14" s="159"/>
      <c r="Y14" s="159"/>
    </row>
    <row r="15">
      <c r="A15" s="182"/>
      <c r="B15" s="183">
        <v>2.0</v>
      </c>
      <c r="C15" s="154"/>
      <c r="D15" s="152"/>
      <c r="E15" s="249"/>
      <c r="F15" s="185" t="s">
        <v>167</v>
      </c>
      <c r="G15" s="185" t="s">
        <v>167</v>
      </c>
      <c r="H15" s="238"/>
      <c r="I15" s="238"/>
      <c r="J15" s="238"/>
      <c r="K15" s="185" t="s">
        <v>167</v>
      </c>
      <c r="L15" s="185" t="s">
        <v>167</v>
      </c>
      <c r="M15" s="185" t="s">
        <v>167</v>
      </c>
      <c r="N15" s="185" t="s">
        <v>167</v>
      </c>
      <c r="O15" s="185"/>
      <c r="P15" s="185"/>
      <c r="Q15" s="185"/>
      <c r="R15" s="212"/>
      <c r="S15" s="243"/>
      <c r="T15" s="260"/>
      <c r="U15" s="159"/>
      <c r="V15" s="159"/>
      <c r="W15" s="159"/>
      <c r="X15" s="159"/>
      <c r="Y15" s="159"/>
    </row>
    <row r="16">
      <c r="A16" s="182"/>
      <c r="B16" s="183">
        <v>0.0</v>
      </c>
      <c r="C16" s="154"/>
      <c r="D16" s="152"/>
      <c r="E16" s="249"/>
      <c r="F16" s="210"/>
      <c r="G16" s="243"/>
      <c r="H16" s="185" t="s">
        <v>167</v>
      </c>
      <c r="I16" s="243"/>
      <c r="J16" s="243"/>
      <c r="K16" s="243"/>
      <c r="L16" s="243"/>
      <c r="M16" s="243"/>
      <c r="N16" s="238"/>
      <c r="O16" s="210"/>
      <c r="P16" s="210"/>
      <c r="Q16" s="185"/>
      <c r="R16" s="210"/>
      <c r="S16" s="185"/>
      <c r="T16" s="208"/>
      <c r="U16" s="159"/>
      <c r="V16" s="159"/>
      <c r="W16" s="159"/>
      <c r="X16" s="159"/>
      <c r="Y16" s="159"/>
    </row>
    <row r="17">
      <c r="A17" s="182"/>
      <c r="B17" s="183">
        <v>-1.0</v>
      </c>
      <c r="C17" s="154"/>
      <c r="D17" s="152"/>
      <c r="E17" s="249"/>
      <c r="F17" s="210"/>
      <c r="G17" s="243"/>
      <c r="H17" s="243"/>
      <c r="I17" s="185" t="s">
        <v>167</v>
      </c>
      <c r="J17" s="243"/>
      <c r="K17" s="243"/>
      <c r="L17" s="243"/>
      <c r="M17" s="243"/>
      <c r="N17" s="243"/>
      <c r="O17" s="210"/>
      <c r="P17" s="210"/>
      <c r="Q17" s="210"/>
      <c r="R17" s="185"/>
      <c r="S17" s="243"/>
      <c r="T17" s="261"/>
      <c r="U17" s="159"/>
      <c r="V17" s="159"/>
      <c r="W17" s="159"/>
      <c r="X17" s="159"/>
      <c r="Y17" s="159"/>
    </row>
    <row r="18" ht="15.75" customHeight="1">
      <c r="A18" s="182"/>
      <c r="B18" s="183">
        <v>5.0</v>
      </c>
      <c r="C18" s="154"/>
      <c r="D18" s="152"/>
      <c r="E18" s="249"/>
      <c r="F18" s="210"/>
      <c r="G18" s="243"/>
      <c r="H18" s="243"/>
      <c r="I18" s="243"/>
      <c r="J18" s="185" t="s">
        <v>167</v>
      </c>
      <c r="K18" s="243"/>
      <c r="L18" s="243"/>
      <c r="M18" s="243"/>
      <c r="N18" s="243"/>
      <c r="O18" s="210"/>
      <c r="P18" s="210"/>
      <c r="Q18" s="210"/>
      <c r="R18" s="210"/>
      <c r="S18" s="243"/>
      <c r="T18" s="261"/>
      <c r="U18" s="159"/>
      <c r="V18" s="159"/>
      <c r="W18" s="159"/>
      <c r="X18" s="159"/>
      <c r="Y18" s="159"/>
    </row>
    <row r="19" ht="15.75" customHeight="1">
      <c r="A19" s="182"/>
      <c r="B19" s="206" t="s">
        <v>262</v>
      </c>
      <c r="C19" s="154"/>
      <c r="D19" s="152"/>
      <c r="E19" s="249"/>
      <c r="F19" s="210"/>
      <c r="G19" s="243"/>
      <c r="H19" s="243"/>
      <c r="I19" s="243"/>
      <c r="J19" s="243"/>
      <c r="K19" s="243"/>
      <c r="L19" s="243"/>
      <c r="M19" s="243"/>
      <c r="N19" s="243"/>
      <c r="O19" s="210"/>
      <c r="P19" s="210"/>
      <c r="Q19" s="210"/>
      <c r="R19" s="210"/>
      <c r="S19" s="243"/>
      <c r="T19" s="261"/>
      <c r="U19" s="159"/>
      <c r="V19" s="159"/>
      <c r="W19" s="159"/>
      <c r="X19" s="159"/>
      <c r="Y19" s="159"/>
    </row>
    <row r="20" ht="15.75" customHeight="1">
      <c r="A20" s="182"/>
      <c r="B20" s="183">
        <v>50.0</v>
      </c>
      <c r="C20" s="154"/>
      <c r="D20" s="152"/>
      <c r="E20" s="249"/>
      <c r="F20" s="185" t="s">
        <v>167</v>
      </c>
      <c r="G20" s="185" t="s">
        <v>167</v>
      </c>
      <c r="H20" s="185" t="s">
        <v>167</v>
      </c>
      <c r="I20" s="185" t="s">
        <v>167</v>
      </c>
      <c r="J20" s="185" t="s">
        <v>167</v>
      </c>
      <c r="K20" s="238"/>
      <c r="L20" s="238"/>
      <c r="M20" s="243"/>
      <c r="N20" s="243"/>
      <c r="O20" s="185"/>
      <c r="P20" s="212"/>
      <c r="Q20" s="212"/>
      <c r="R20" s="212"/>
      <c r="S20" s="212"/>
      <c r="T20" s="260"/>
      <c r="U20" s="159"/>
      <c r="V20" s="159"/>
      <c r="W20" s="159"/>
      <c r="X20" s="159"/>
      <c r="Y20" s="159"/>
    </row>
    <row r="21" ht="15.75" customHeight="1">
      <c r="A21" s="182"/>
      <c r="B21" s="183">
        <v>0.0</v>
      </c>
      <c r="C21" s="154"/>
      <c r="D21" s="152"/>
      <c r="E21" s="249"/>
      <c r="F21" s="210"/>
      <c r="G21" s="243"/>
      <c r="H21" s="243"/>
      <c r="I21" s="243"/>
      <c r="J21" s="243"/>
      <c r="K21" s="185" t="s">
        <v>167</v>
      </c>
      <c r="L21" s="243"/>
      <c r="M21" s="243"/>
      <c r="N21" s="243"/>
      <c r="O21" s="210"/>
      <c r="P21" s="210"/>
      <c r="Q21" s="210"/>
      <c r="R21" s="210"/>
      <c r="S21" s="243"/>
      <c r="T21" s="261"/>
      <c r="U21" s="159"/>
      <c r="V21" s="159"/>
      <c r="W21" s="159"/>
      <c r="X21" s="159"/>
      <c r="Y21" s="159"/>
    </row>
    <row r="22" ht="15.75" customHeight="1">
      <c r="A22" s="182"/>
      <c r="B22" s="183">
        <v>-1.0</v>
      </c>
      <c r="C22" s="154"/>
      <c r="D22" s="152"/>
      <c r="E22" s="249"/>
      <c r="F22" s="210"/>
      <c r="G22" s="243"/>
      <c r="H22" s="243"/>
      <c r="I22" s="243"/>
      <c r="J22" s="243"/>
      <c r="K22" s="243"/>
      <c r="L22" s="185" t="s">
        <v>167</v>
      </c>
      <c r="M22" s="243"/>
      <c r="N22" s="243"/>
      <c r="O22" s="185"/>
      <c r="P22" s="210"/>
      <c r="Q22" s="210"/>
      <c r="R22" s="210"/>
      <c r="S22" s="243"/>
      <c r="T22" s="261"/>
      <c r="U22" s="159"/>
      <c r="V22" s="159"/>
      <c r="W22" s="159"/>
      <c r="X22" s="159"/>
      <c r="Y22" s="159"/>
    </row>
    <row r="23" ht="15.75" customHeight="1">
      <c r="A23" s="182"/>
      <c r="B23" s="206" t="s">
        <v>263</v>
      </c>
      <c r="C23" s="154"/>
      <c r="D23" s="152"/>
      <c r="E23" s="249"/>
      <c r="F23" s="210"/>
      <c r="G23" s="243"/>
      <c r="H23" s="243"/>
      <c r="I23" s="243"/>
      <c r="J23" s="243"/>
      <c r="K23" s="243"/>
      <c r="L23" s="243"/>
      <c r="M23" s="238"/>
      <c r="N23" s="243"/>
      <c r="O23" s="210"/>
      <c r="P23" s="185"/>
      <c r="Q23" s="210"/>
      <c r="R23" s="210"/>
      <c r="S23" s="243"/>
      <c r="T23" s="261"/>
      <c r="U23" s="159"/>
      <c r="V23" s="159"/>
      <c r="W23" s="159"/>
      <c r="X23" s="159"/>
      <c r="Y23" s="159"/>
    </row>
    <row r="24" ht="15.75" customHeight="1">
      <c r="A24" s="182"/>
      <c r="B24" s="183">
        <v>1.0</v>
      </c>
      <c r="C24" s="154"/>
      <c r="D24" s="152"/>
      <c r="E24" s="249"/>
      <c r="F24" s="185" t="s">
        <v>167</v>
      </c>
      <c r="G24" s="185" t="s">
        <v>167</v>
      </c>
      <c r="H24" s="185" t="s">
        <v>167</v>
      </c>
      <c r="I24" s="185" t="s">
        <v>167</v>
      </c>
      <c r="J24" s="185" t="s">
        <v>167</v>
      </c>
      <c r="K24" s="185" t="s">
        <v>167</v>
      </c>
      <c r="L24" s="185" t="s">
        <v>167</v>
      </c>
      <c r="M24" s="238"/>
      <c r="N24" s="243"/>
      <c r="O24" s="185"/>
      <c r="P24" s="185"/>
      <c r="Q24" s="212"/>
      <c r="R24" s="212"/>
      <c r="S24" s="212"/>
      <c r="T24" s="261"/>
      <c r="U24" s="159"/>
      <c r="V24" s="159"/>
      <c r="W24" s="159"/>
      <c r="X24" s="159"/>
      <c r="Y24" s="159"/>
    </row>
    <row r="25" ht="15.75" customHeight="1">
      <c r="A25" s="182"/>
      <c r="B25" s="183">
        <v>0.0</v>
      </c>
      <c r="C25" s="154"/>
      <c r="D25" s="152"/>
      <c r="E25" s="249"/>
      <c r="F25" s="210"/>
      <c r="G25" s="243"/>
      <c r="H25" s="243"/>
      <c r="I25" s="243"/>
      <c r="J25" s="243"/>
      <c r="K25" s="243"/>
      <c r="L25" s="243"/>
      <c r="M25" s="185" t="s">
        <v>167</v>
      </c>
      <c r="N25" s="243"/>
      <c r="O25" s="210"/>
      <c r="P25" s="185"/>
      <c r="Q25" s="210"/>
      <c r="R25" s="210"/>
      <c r="S25" s="243"/>
      <c r="T25" s="261"/>
      <c r="U25" s="159"/>
      <c r="V25" s="159"/>
      <c r="W25" s="159"/>
      <c r="X25" s="159"/>
      <c r="Y25" s="159"/>
    </row>
    <row r="26" ht="15.75" customHeight="1">
      <c r="A26" s="192"/>
      <c r="B26" s="193">
        <v>-1.0</v>
      </c>
      <c r="C26" s="194"/>
      <c r="D26" s="195"/>
      <c r="E26" s="196"/>
      <c r="F26" s="197"/>
      <c r="G26" s="239"/>
      <c r="H26" s="239"/>
      <c r="I26" s="239"/>
      <c r="J26" s="239"/>
      <c r="K26" s="239"/>
      <c r="L26" s="239"/>
      <c r="M26" s="239"/>
      <c r="N26" s="198" t="s">
        <v>167</v>
      </c>
      <c r="O26" s="197"/>
      <c r="P26" s="197"/>
      <c r="Q26" s="198"/>
      <c r="R26" s="197"/>
      <c r="S26" s="239"/>
      <c r="T26" s="262"/>
      <c r="U26" s="159"/>
      <c r="V26" s="159"/>
      <c r="W26" s="159"/>
      <c r="X26" s="159"/>
      <c r="Y26" s="159"/>
    </row>
    <row r="27" ht="15.75" customHeight="1">
      <c r="A27" s="174" t="s">
        <v>183</v>
      </c>
      <c r="B27" s="201" t="s">
        <v>184</v>
      </c>
      <c r="D27" s="202"/>
      <c r="E27" s="203"/>
      <c r="F27" s="179"/>
      <c r="G27" s="240"/>
      <c r="H27" s="240"/>
      <c r="I27" s="240"/>
      <c r="J27" s="240"/>
      <c r="K27" s="240"/>
      <c r="L27" s="240"/>
      <c r="M27" s="240"/>
      <c r="N27" s="240"/>
      <c r="O27" s="179"/>
      <c r="P27" s="179"/>
      <c r="Q27" s="179"/>
      <c r="R27" s="179"/>
      <c r="S27" s="240"/>
      <c r="T27" s="263"/>
      <c r="U27" s="159"/>
      <c r="V27" s="159"/>
      <c r="W27" s="159"/>
      <c r="X27" s="159"/>
      <c r="Y27" s="159"/>
    </row>
    <row r="28" ht="15.75" customHeight="1">
      <c r="A28" s="182"/>
      <c r="B28" s="204" t="b">
        <v>1</v>
      </c>
      <c r="C28" s="154"/>
      <c r="D28" s="152"/>
      <c r="E28" s="184"/>
      <c r="F28" s="185" t="s">
        <v>167</v>
      </c>
      <c r="G28" s="238"/>
      <c r="H28" s="238"/>
      <c r="I28" s="238"/>
      <c r="J28" s="238"/>
      <c r="K28" s="238"/>
      <c r="L28" s="238"/>
      <c r="M28" s="238"/>
      <c r="N28" s="238"/>
      <c r="O28" s="188"/>
      <c r="P28" s="188"/>
      <c r="Q28" s="188"/>
      <c r="R28" s="188"/>
      <c r="S28" s="238"/>
      <c r="T28" s="208"/>
      <c r="U28" s="159"/>
      <c r="V28" s="159"/>
      <c r="W28" s="159"/>
      <c r="X28" s="159"/>
      <c r="Y28" s="159"/>
    </row>
    <row r="29" ht="15.75" customHeight="1">
      <c r="A29" s="182"/>
      <c r="B29" s="204" t="b">
        <v>0</v>
      </c>
      <c r="C29" s="154"/>
      <c r="D29" s="152"/>
      <c r="E29" s="184"/>
      <c r="F29" s="188"/>
      <c r="G29" s="185" t="s">
        <v>167</v>
      </c>
      <c r="H29" s="185" t="s">
        <v>167</v>
      </c>
      <c r="I29" s="238"/>
      <c r="J29" s="185" t="s">
        <v>167</v>
      </c>
      <c r="K29" s="185" t="s">
        <v>167</v>
      </c>
      <c r="L29" s="185" t="s">
        <v>167</v>
      </c>
      <c r="M29" s="238"/>
      <c r="N29" s="238"/>
      <c r="O29" s="185"/>
      <c r="P29" s="185"/>
      <c r="Q29" s="185"/>
      <c r="R29" s="185"/>
      <c r="S29" s="185"/>
      <c r="T29" s="260"/>
      <c r="U29" s="159"/>
      <c r="V29" s="159"/>
      <c r="W29" s="159"/>
      <c r="X29" s="159"/>
      <c r="Y29" s="159"/>
    </row>
    <row r="30" ht="15.75" customHeight="1">
      <c r="A30" s="182"/>
      <c r="B30" s="206" t="s">
        <v>185</v>
      </c>
      <c r="C30" s="154"/>
      <c r="D30" s="152"/>
      <c r="E30" s="207"/>
      <c r="F30" s="188"/>
      <c r="G30" s="238"/>
      <c r="H30" s="238"/>
      <c r="I30" s="238"/>
      <c r="J30" s="238"/>
      <c r="K30" s="238"/>
      <c r="L30" s="238"/>
      <c r="M30" s="238"/>
      <c r="N30" s="238"/>
      <c r="O30" s="188"/>
      <c r="P30" s="188"/>
      <c r="Q30" s="188"/>
      <c r="R30" s="188"/>
      <c r="S30" s="238"/>
      <c r="T30" s="208"/>
      <c r="U30" s="159"/>
      <c r="V30" s="159"/>
      <c r="W30" s="159"/>
      <c r="X30" s="159"/>
      <c r="Y30" s="159"/>
    </row>
    <row r="31" ht="15.75" customHeight="1">
      <c r="A31" s="182"/>
      <c r="B31" s="183" t="s">
        <v>186</v>
      </c>
      <c r="C31" s="154"/>
      <c r="D31" s="152"/>
      <c r="E31" s="207"/>
      <c r="F31" s="185"/>
      <c r="G31" s="238"/>
      <c r="H31" s="238"/>
      <c r="I31" s="185" t="s">
        <v>167</v>
      </c>
      <c r="J31" s="238"/>
      <c r="K31" s="238"/>
      <c r="L31" s="238"/>
      <c r="M31" s="243"/>
      <c r="N31" s="243"/>
      <c r="O31" s="185"/>
      <c r="P31" s="212"/>
      <c r="Q31" s="212"/>
      <c r="R31" s="188"/>
      <c r="S31" s="185"/>
      <c r="T31" s="260"/>
      <c r="U31" s="159"/>
      <c r="V31" s="159"/>
      <c r="W31" s="159"/>
      <c r="X31" s="159"/>
      <c r="Y31" s="159"/>
    </row>
    <row r="32" ht="15.75" customHeight="1">
      <c r="A32" s="182"/>
      <c r="B32" s="206" t="s">
        <v>187</v>
      </c>
      <c r="C32" s="154"/>
      <c r="D32" s="152"/>
      <c r="E32" s="184"/>
      <c r="F32" s="209"/>
      <c r="G32" s="242"/>
      <c r="H32" s="242"/>
      <c r="I32" s="242"/>
      <c r="J32" s="242"/>
      <c r="K32" s="242"/>
      <c r="L32" s="242"/>
      <c r="M32" s="242"/>
      <c r="N32" s="242"/>
      <c r="O32" s="209"/>
      <c r="P32" s="209"/>
      <c r="Q32" s="209"/>
      <c r="R32" s="209"/>
      <c r="S32" s="242"/>
      <c r="T32" s="264"/>
      <c r="U32" s="159"/>
      <c r="V32" s="159"/>
      <c r="W32" s="159"/>
      <c r="X32" s="159"/>
      <c r="Y32" s="159"/>
    </row>
    <row r="33" ht="15.75" customHeight="1">
      <c r="A33" s="182"/>
      <c r="B33" s="183" t="s">
        <v>270</v>
      </c>
      <c r="C33" s="154"/>
      <c r="D33" s="152"/>
      <c r="E33" s="184"/>
      <c r="F33" s="185"/>
      <c r="G33" s="238"/>
      <c r="H33" s="238"/>
      <c r="I33" s="238"/>
      <c r="J33" s="238"/>
      <c r="K33" s="238"/>
      <c r="L33" s="238"/>
      <c r="M33" s="238"/>
      <c r="N33" s="238"/>
      <c r="O33" s="185"/>
      <c r="P33" s="188"/>
      <c r="Q33" s="188"/>
      <c r="R33" s="188"/>
      <c r="S33" s="238"/>
      <c r="T33" s="208"/>
      <c r="U33" s="159"/>
      <c r="V33" s="159"/>
      <c r="W33" s="159"/>
      <c r="X33" s="159"/>
      <c r="Y33" s="159"/>
    </row>
    <row r="34" ht="15.75" customHeight="1">
      <c r="A34" s="182"/>
      <c r="B34" s="183" t="s">
        <v>271</v>
      </c>
      <c r="C34" s="154"/>
      <c r="D34" s="152"/>
      <c r="E34" s="249"/>
      <c r="F34" s="212"/>
      <c r="G34" s="185" t="s">
        <v>167</v>
      </c>
      <c r="H34" s="243"/>
      <c r="I34" s="243"/>
      <c r="J34" s="243"/>
      <c r="K34" s="243"/>
      <c r="L34" s="243"/>
      <c r="M34" s="243"/>
      <c r="N34" s="243"/>
      <c r="O34" s="212"/>
      <c r="P34" s="210"/>
      <c r="Q34" s="210"/>
      <c r="R34" s="210"/>
      <c r="S34" s="243"/>
      <c r="T34" s="261"/>
      <c r="U34" s="159"/>
      <c r="V34" s="159"/>
      <c r="W34" s="159"/>
      <c r="X34" s="159"/>
      <c r="Y34" s="159"/>
    </row>
    <row r="35" ht="15.75" customHeight="1">
      <c r="A35" s="182"/>
      <c r="B35" s="204" t="s">
        <v>255</v>
      </c>
      <c r="C35" s="154"/>
      <c r="D35" s="152"/>
      <c r="E35" s="249"/>
      <c r="F35" s="212"/>
      <c r="G35" s="243"/>
      <c r="H35" s="243"/>
      <c r="I35" s="243"/>
      <c r="J35" s="185" t="s">
        <v>167</v>
      </c>
      <c r="K35" s="243"/>
      <c r="L35" s="243"/>
      <c r="M35" s="243"/>
      <c r="N35" s="243"/>
      <c r="O35" s="212"/>
      <c r="P35" s="212"/>
      <c r="Q35" s="210"/>
      <c r="R35" s="212"/>
      <c r="S35" s="243"/>
      <c r="T35" s="261"/>
      <c r="U35" s="159"/>
      <c r="V35" s="159"/>
      <c r="W35" s="159"/>
      <c r="X35" s="159"/>
      <c r="Y35" s="159"/>
    </row>
    <row r="36" ht="15.75" customHeight="1">
      <c r="A36" s="182"/>
      <c r="B36" s="204" t="s">
        <v>267</v>
      </c>
      <c r="C36" s="154"/>
      <c r="D36" s="152"/>
      <c r="E36" s="249"/>
      <c r="F36" s="212"/>
      <c r="G36" s="243"/>
      <c r="H36" s="185" t="s">
        <v>167</v>
      </c>
      <c r="I36" s="185" t="s">
        <v>167</v>
      </c>
      <c r="J36" s="243"/>
      <c r="K36" s="243"/>
      <c r="L36" s="243"/>
      <c r="M36" s="243"/>
      <c r="N36" s="243"/>
      <c r="O36" s="212"/>
      <c r="P36" s="212"/>
      <c r="Q36" s="210"/>
      <c r="R36" s="212"/>
      <c r="S36" s="185"/>
      <c r="T36" s="261"/>
      <c r="U36" s="159"/>
      <c r="V36" s="159"/>
      <c r="W36" s="159"/>
      <c r="X36" s="159"/>
      <c r="Y36" s="159"/>
    </row>
    <row r="37" ht="15.75" customHeight="1">
      <c r="A37" s="182"/>
      <c r="B37" s="204" t="s">
        <v>268</v>
      </c>
      <c r="C37" s="154"/>
      <c r="D37" s="152"/>
      <c r="E37" s="249"/>
      <c r="F37" s="212"/>
      <c r="G37" s="243"/>
      <c r="H37" s="243"/>
      <c r="I37" s="243"/>
      <c r="J37" s="243"/>
      <c r="K37" s="185" t="s">
        <v>167</v>
      </c>
      <c r="L37" s="185" t="s">
        <v>167</v>
      </c>
      <c r="M37" s="243"/>
      <c r="N37" s="243"/>
      <c r="O37" s="185"/>
      <c r="P37" s="212"/>
      <c r="Q37" s="210"/>
      <c r="R37" s="212"/>
      <c r="S37" s="243"/>
      <c r="T37" s="261"/>
      <c r="U37" s="159"/>
      <c r="V37" s="159"/>
      <c r="W37" s="159"/>
      <c r="X37" s="159"/>
      <c r="Y37" s="159"/>
    </row>
    <row r="38" ht="15.75" customHeight="1">
      <c r="A38" s="182"/>
      <c r="B38" s="256" t="s">
        <v>269</v>
      </c>
      <c r="C38" s="214"/>
      <c r="D38" s="215"/>
      <c r="E38" s="216"/>
      <c r="F38" s="217"/>
      <c r="G38" s="239"/>
      <c r="H38" s="239"/>
      <c r="I38" s="244"/>
      <c r="J38" s="244"/>
      <c r="K38" s="244"/>
      <c r="L38" s="244"/>
      <c r="M38" s="218" t="s">
        <v>167</v>
      </c>
      <c r="N38" s="218" t="s">
        <v>167</v>
      </c>
      <c r="O38" s="217"/>
      <c r="P38" s="218"/>
      <c r="Q38" s="218"/>
      <c r="R38" s="218"/>
      <c r="S38" s="244"/>
      <c r="T38" s="265"/>
      <c r="U38" s="159"/>
      <c r="V38" s="159"/>
      <c r="W38" s="159"/>
      <c r="X38" s="159"/>
      <c r="Y38" s="159"/>
    </row>
    <row r="39" ht="15.75" customHeight="1">
      <c r="A39" s="220" t="s">
        <v>196</v>
      </c>
      <c r="B39" s="221" t="s">
        <v>197</v>
      </c>
      <c r="C39" s="176"/>
      <c r="D39" s="177"/>
      <c r="E39" s="178"/>
      <c r="F39" s="222" t="s">
        <v>137</v>
      </c>
      <c r="G39" s="222" t="s">
        <v>61</v>
      </c>
      <c r="H39" s="222" t="s">
        <v>61</v>
      </c>
      <c r="I39" s="222" t="s">
        <v>138</v>
      </c>
      <c r="J39" s="222" t="s">
        <v>138</v>
      </c>
      <c r="K39" s="222" t="s">
        <v>61</v>
      </c>
      <c r="L39" s="222" t="s">
        <v>61</v>
      </c>
      <c r="M39" s="222" t="s">
        <v>138</v>
      </c>
      <c r="N39" s="222" t="s">
        <v>138</v>
      </c>
      <c r="O39" s="222"/>
      <c r="P39" s="222"/>
      <c r="Q39" s="222"/>
      <c r="R39" s="222"/>
      <c r="S39" s="222"/>
      <c r="T39" s="267"/>
      <c r="U39" s="159"/>
      <c r="V39" s="159"/>
      <c r="W39" s="159"/>
      <c r="X39" s="159"/>
      <c r="Y39" s="159"/>
    </row>
    <row r="40" ht="15.75" customHeight="1">
      <c r="A40" s="182"/>
      <c r="B40" s="221" t="s">
        <v>198</v>
      </c>
      <c r="C40" s="176"/>
      <c r="D40" s="177"/>
      <c r="E40" s="184"/>
      <c r="F40" s="225" t="s">
        <v>199</v>
      </c>
      <c r="G40" s="268" t="s">
        <v>199</v>
      </c>
      <c r="H40" s="268" t="s">
        <v>199</v>
      </c>
      <c r="I40" s="225" t="s">
        <v>199</v>
      </c>
      <c r="J40" s="225" t="s">
        <v>199</v>
      </c>
      <c r="K40" s="225" t="s">
        <v>199</v>
      </c>
      <c r="L40" s="225" t="s">
        <v>199</v>
      </c>
      <c r="M40" s="225" t="s">
        <v>199</v>
      </c>
      <c r="N40" s="225" t="s">
        <v>199</v>
      </c>
      <c r="O40" s="225"/>
      <c r="P40" s="225"/>
      <c r="Q40" s="225"/>
      <c r="R40" s="225"/>
      <c r="S40" s="225"/>
      <c r="T40" s="226"/>
      <c r="U40" s="159"/>
      <c r="V40" s="159"/>
      <c r="W40" s="159"/>
      <c r="X40" s="159"/>
      <c r="Y40" s="159"/>
    </row>
    <row r="41" ht="15.75" customHeight="1">
      <c r="A41" s="182"/>
      <c r="B41" s="221" t="s">
        <v>200</v>
      </c>
      <c r="C41" s="176"/>
      <c r="D41" s="177"/>
      <c r="E41" s="184"/>
      <c r="F41" s="228">
        <v>45959.0</v>
      </c>
      <c r="G41" s="228">
        <v>45959.0</v>
      </c>
      <c r="H41" s="228">
        <v>45959.0</v>
      </c>
      <c r="I41" s="228">
        <v>45959.0</v>
      </c>
      <c r="J41" s="228">
        <v>45959.0</v>
      </c>
      <c r="K41" s="228">
        <v>45959.0</v>
      </c>
      <c r="L41" s="228">
        <v>45959.0</v>
      </c>
      <c r="M41" s="228">
        <v>45959.0</v>
      </c>
      <c r="N41" s="228">
        <v>45959.0</v>
      </c>
      <c r="O41" s="228"/>
      <c r="P41" s="228"/>
      <c r="Q41" s="228"/>
      <c r="R41" s="228"/>
      <c r="S41" s="246"/>
      <c r="T41" s="274"/>
      <c r="U41" s="159"/>
      <c r="V41" s="159"/>
      <c r="W41" s="159"/>
      <c r="X41" s="159"/>
      <c r="Y41" s="159"/>
    </row>
    <row r="42" ht="15.75" customHeight="1">
      <c r="A42" s="182"/>
      <c r="B42" s="230" t="s">
        <v>201</v>
      </c>
      <c r="C42" s="231"/>
      <c r="D42" s="232"/>
      <c r="E42" s="233"/>
      <c r="F42" s="217"/>
      <c r="G42" s="217"/>
      <c r="H42" s="217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70"/>
      <c r="T42" s="275"/>
      <c r="U42" s="159"/>
      <c r="V42" s="159"/>
      <c r="W42" s="159"/>
      <c r="X42" s="159"/>
      <c r="Y42" s="159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59"/>
      <c r="V43" s="159"/>
      <c r="W43" s="159"/>
      <c r="X43" s="159"/>
      <c r="Y43" s="159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59"/>
      <c r="V44" s="159"/>
      <c r="W44" s="159"/>
      <c r="X44" s="159"/>
      <c r="Y44" s="159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59"/>
      <c r="V45" s="159"/>
      <c r="W45" s="159"/>
      <c r="X45" s="159"/>
      <c r="Y45" s="159"/>
    </row>
    <row r="46" ht="15.75" customHeight="1">
      <c r="A46" s="161"/>
      <c r="B46" s="161"/>
      <c r="C46" s="161"/>
      <c r="D46" s="161"/>
      <c r="E46" s="169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159"/>
      <c r="V46" s="159"/>
      <c r="W46" s="159"/>
      <c r="X46" s="159"/>
      <c r="Y46" s="159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59"/>
      <c r="V47" s="159"/>
      <c r="W47" s="159"/>
      <c r="X47" s="159"/>
      <c r="Y47" s="159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59"/>
      <c r="V48" s="159"/>
      <c r="W48" s="159"/>
      <c r="X48" s="159"/>
      <c r="Y48" s="159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>
      <c r="A240" s="161"/>
      <c r="B240" s="161"/>
      <c r="C240" s="161"/>
      <c r="D240" s="161"/>
      <c r="E240" s="169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</row>
    <row r="241" ht="15.75" customHeight="1">
      <c r="A241" s="161"/>
      <c r="B241" s="161"/>
      <c r="C241" s="161"/>
      <c r="D241" s="161"/>
      <c r="E241" s="169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</row>
    <row r="242" ht="15.75" customHeight="1">
      <c r="A242" s="161"/>
      <c r="B242" s="161"/>
      <c r="C242" s="161"/>
      <c r="D242" s="161"/>
      <c r="E242" s="169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4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9:D39"/>
    <mergeCell ref="B40:D40"/>
    <mergeCell ref="B41:D41"/>
    <mergeCell ref="B42:D42"/>
    <mergeCell ref="B32:D32"/>
    <mergeCell ref="B33:D33"/>
    <mergeCell ref="B34:D34"/>
    <mergeCell ref="B35:D35"/>
    <mergeCell ref="B36:D36"/>
    <mergeCell ref="B37:D37"/>
    <mergeCell ref="B38:D38"/>
  </mergeCells>
  <dataValidations>
    <dataValidation type="list" allowBlank="1" showInputMessage="1" showErrorMessage="1" prompt=" - " sqref="F8:T38">
      <formula1>"O"</formula1>
    </dataValidation>
    <dataValidation type="list" allowBlank="1" showInputMessage="1" showErrorMessage="1" prompt="Nhấp và nhập một giá trị từ danh sách các mục" sqref="F40:T40">
      <formula1>"P,F,N/A"</formula1>
    </dataValidation>
    <dataValidation type="list" allowBlank="1" showInputMessage="1" showErrorMessage="1" prompt="Click and enter a value from the list of items" sqref="F39:T39">
      <formula1>"A,B,N"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255" t="s">
        <v>103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74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COUNTIF(F23:HU23,"P")</f>
        <v>2</v>
      </c>
      <c r="B5" s="165"/>
      <c r="C5" s="164">
        <f>COUNTIF(H23:HW23,"F")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COUNTIF(E22:HU22,"N")</f>
        <v>1</v>
      </c>
      <c r="M5" s="168">
        <f>COUNTIF(F22:HV22,"A")</f>
        <v>1</v>
      </c>
      <c r="N5" s="168">
        <f>COUNTIF(G22:HW22,"B")</f>
        <v>0</v>
      </c>
      <c r="O5" s="167">
        <f>COUNTA(F7:HX7)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206" t="s">
        <v>247</v>
      </c>
      <c r="C11" s="154"/>
      <c r="D11" s="152"/>
      <c r="E11" s="184"/>
      <c r="F11" s="188"/>
      <c r="G11" s="23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8"/>
      <c r="I12" s="188"/>
      <c r="J12" s="188"/>
      <c r="K12" s="185"/>
      <c r="L12" s="185"/>
      <c r="M12" s="185"/>
      <c r="N12" s="185"/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92"/>
      <c r="B13" s="193" t="s">
        <v>249</v>
      </c>
      <c r="C13" s="194"/>
      <c r="D13" s="195"/>
      <c r="E13" s="196"/>
      <c r="F13" s="197"/>
      <c r="G13" s="198" t="s">
        <v>167</v>
      </c>
      <c r="H13" s="197"/>
      <c r="I13" s="198"/>
      <c r="J13" s="198"/>
      <c r="K13" s="198"/>
      <c r="L13" s="197"/>
      <c r="M13" s="197"/>
      <c r="N13" s="197"/>
      <c r="O13" s="197"/>
      <c r="P13" s="197"/>
      <c r="Q13" s="198"/>
      <c r="R13" s="197"/>
      <c r="S13" s="239"/>
      <c r="T13" s="262"/>
      <c r="U13" s="159"/>
      <c r="V13" s="159"/>
      <c r="W13" s="159"/>
      <c r="X13" s="159"/>
      <c r="Y13" s="159"/>
    </row>
    <row r="14">
      <c r="A14" s="174" t="s">
        <v>183</v>
      </c>
      <c r="B14" s="201" t="s">
        <v>184</v>
      </c>
      <c r="D14" s="202"/>
      <c r="E14" s="203"/>
      <c r="F14" s="179"/>
      <c r="G14" s="240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240"/>
      <c r="T14" s="263"/>
      <c r="U14" s="159"/>
      <c r="V14" s="159"/>
      <c r="W14" s="159"/>
      <c r="X14" s="159"/>
      <c r="Y14" s="159"/>
    </row>
    <row r="15">
      <c r="A15" s="182"/>
      <c r="B15" s="204" t="b">
        <v>1</v>
      </c>
      <c r="C15" s="154"/>
      <c r="D15" s="152"/>
      <c r="E15" s="184"/>
      <c r="F15" s="185" t="s">
        <v>167</v>
      </c>
      <c r="G15" s="23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238"/>
      <c r="T15" s="208"/>
      <c r="U15" s="159"/>
      <c r="V15" s="159"/>
      <c r="W15" s="159"/>
      <c r="X15" s="159"/>
      <c r="Y15" s="159"/>
    </row>
    <row r="16">
      <c r="A16" s="182"/>
      <c r="B16" s="204" t="b">
        <v>0</v>
      </c>
      <c r="C16" s="154"/>
      <c r="D16" s="152"/>
      <c r="E16" s="184"/>
      <c r="F16" s="188"/>
      <c r="G16" s="185" t="s">
        <v>167</v>
      </c>
      <c r="H16" s="188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260"/>
      <c r="U16" s="159"/>
      <c r="V16" s="159"/>
      <c r="W16" s="159"/>
      <c r="X16" s="159"/>
      <c r="Y16" s="159"/>
    </row>
    <row r="17">
      <c r="A17" s="182"/>
      <c r="B17" s="206" t="s">
        <v>185</v>
      </c>
      <c r="C17" s="154"/>
      <c r="D17" s="152"/>
      <c r="E17" s="207"/>
      <c r="F17" s="188"/>
      <c r="G17" s="23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238"/>
      <c r="T17" s="208"/>
      <c r="U17" s="159"/>
      <c r="V17" s="159"/>
      <c r="W17" s="159"/>
      <c r="X17" s="159"/>
      <c r="Y17" s="159"/>
    </row>
    <row r="18" ht="15.75" customHeight="1">
      <c r="A18" s="182"/>
      <c r="B18" s="183" t="s">
        <v>186</v>
      </c>
      <c r="C18" s="154"/>
      <c r="D18" s="152"/>
      <c r="E18" s="207"/>
      <c r="F18" s="185"/>
      <c r="G18" s="238"/>
      <c r="H18" s="185"/>
      <c r="I18" s="185"/>
      <c r="J18" s="185"/>
      <c r="K18" s="185"/>
      <c r="L18" s="185"/>
      <c r="M18" s="185"/>
      <c r="N18" s="185"/>
      <c r="O18" s="185"/>
      <c r="P18" s="212"/>
      <c r="Q18" s="212"/>
      <c r="R18" s="188"/>
      <c r="S18" s="185"/>
      <c r="T18" s="260"/>
      <c r="U18" s="159"/>
      <c r="V18" s="159"/>
      <c r="W18" s="159"/>
      <c r="X18" s="159"/>
      <c r="Y18" s="159"/>
    </row>
    <row r="19" ht="15.75" customHeight="1">
      <c r="A19" s="182"/>
      <c r="B19" s="206" t="s">
        <v>187</v>
      </c>
      <c r="C19" s="154"/>
      <c r="D19" s="152"/>
      <c r="E19" s="184"/>
      <c r="F19" s="209"/>
      <c r="G19" s="242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42"/>
      <c r="T19" s="264"/>
      <c r="U19" s="159"/>
      <c r="V19" s="159"/>
      <c r="W19" s="159"/>
      <c r="X19" s="159"/>
      <c r="Y19" s="159"/>
    </row>
    <row r="20" ht="15.75" customHeight="1">
      <c r="A20" s="182"/>
      <c r="B20" s="183" t="s">
        <v>270</v>
      </c>
      <c r="C20" s="154"/>
      <c r="D20" s="152"/>
      <c r="E20" s="184"/>
      <c r="F20" s="185"/>
      <c r="G20" s="238"/>
      <c r="H20" s="185"/>
      <c r="I20" s="185"/>
      <c r="J20" s="185"/>
      <c r="K20" s="188"/>
      <c r="L20" s="188"/>
      <c r="M20" s="188"/>
      <c r="N20" s="185"/>
      <c r="O20" s="185"/>
      <c r="P20" s="188"/>
      <c r="Q20" s="188"/>
      <c r="R20" s="188"/>
      <c r="S20" s="238"/>
      <c r="T20" s="208"/>
      <c r="U20" s="159"/>
      <c r="V20" s="159"/>
      <c r="W20" s="159"/>
      <c r="X20" s="159"/>
      <c r="Y20" s="159"/>
    </row>
    <row r="21" ht="15.75" customHeight="1">
      <c r="A21" s="182"/>
      <c r="B21" s="256" t="s">
        <v>271</v>
      </c>
      <c r="C21" s="214"/>
      <c r="D21" s="215"/>
      <c r="E21" s="216"/>
      <c r="F21" s="217"/>
      <c r="G21" s="198" t="s">
        <v>167</v>
      </c>
      <c r="H21" s="217"/>
      <c r="I21" s="198"/>
      <c r="J21" s="198"/>
      <c r="K21" s="198"/>
      <c r="L21" s="217"/>
      <c r="M21" s="217"/>
      <c r="N21" s="217"/>
      <c r="O21" s="217"/>
      <c r="P21" s="218"/>
      <c r="Q21" s="218"/>
      <c r="R21" s="218"/>
      <c r="S21" s="244"/>
      <c r="T21" s="265"/>
      <c r="U21" s="159"/>
      <c r="V21" s="159"/>
      <c r="W21" s="159"/>
      <c r="X21" s="159"/>
      <c r="Y21" s="159"/>
    </row>
    <row r="22" ht="15.75" customHeight="1">
      <c r="A22" s="220" t="s">
        <v>196</v>
      </c>
      <c r="B22" s="221" t="s">
        <v>197</v>
      </c>
      <c r="C22" s="176"/>
      <c r="D22" s="177"/>
      <c r="E22" s="178"/>
      <c r="F22" s="222" t="s">
        <v>137</v>
      </c>
      <c r="G22" s="222" t="s">
        <v>61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67"/>
      <c r="U22" s="159"/>
      <c r="V22" s="159"/>
      <c r="W22" s="159"/>
      <c r="X22" s="159"/>
      <c r="Y22" s="159"/>
    </row>
    <row r="23" ht="15.75" customHeight="1">
      <c r="A23" s="182"/>
      <c r="B23" s="221" t="s">
        <v>198</v>
      </c>
      <c r="C23" s="176"/>
      <c r="D23" s="177"/>
      <c r="E23" s="184"/>
      <c r="F23" s="225" t="s">
        <v>199</v>
      </c>
      <c r="G23" s="268" t="s">
        <v>199</v>
      </c>
      <c r="H23" s="257"/>
      <c r="I23" s="257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6"/>
      <c r="U23" s="159"/>
      <c r="V23" s="159"/>
      <c r="W23" s="159"/>
      <c r="X23" s="159"/>
      <c r="Y23" s="159"/>
    </row>
    <row r="24" ht="15.75" customHeight="1">
      <c r="A24" s="182"/>
      <c r="B24" s="221" t="s">
        <v>200</v>
      </c>
      <c r="C24" s="176"/>
      <c r="D24" s="177"/>
      <c r="E24" s="184"/>
      <c r="F24" s="228">
        <v>45959.0</v>
      </c>
      <c r="G24" s="228">
        <v>45959.0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46"/>
      <c r="T24" s="274"/>
      <c r="U24" s="159"/>
      <c r="V24" s="159"/>
      <c r="W24" s="159"/>
      <c r="X24" s="159"/>
      <c r="Y24" s="159"/>
    </row>
    <row r="25" ht="15.75" customHeight="1">
      <c r="A25" s="182"/>
      <c r="B25" s="230" t="s">
        <v>201</v>
      </c>
      <c r="C25" s="231"/>
      <c r="D25" s="232"/>
      <c r="E25" s="233"/>
      <c r="F25" s="217"/>
      <c r="G25" s="217"/>
      <c r="H25" s="217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70"/>
      <c r="T25" s="275"/>
      <c r="U25" s="159"/>
      <c r="V25" s="159"/>
      <c r="W25" s="159"/>
      <c r="X25" s="159"/>
      <c r="Y25" s="159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59"/>
      <c r="V26" s="159"/>
      <c r="W26" s="159"/>
      <c r="X26" s="159"/>
      <c r="Y26" s="159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59"/>
      <c r="V27" s="159"/>
      <c r="W27" s="159"/>
      <c r="X27" s="159"/>
      <c r="Y27" s="159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59"/>
      <c r="V28" s="159"/>
      <c r="W28" s="159"/>
      <c r="X28" s="159"/>
      <c r="Y28" s="159"/>
    </row>
    <row r="29" ht="15.75" customHeight="1">
      <c r="A29" s="161"/>
      <c r="B29" s="161"/>
      <c r="C29" s="161"/>
      <c r="D29" s="161"/>
      <c r="E29" s="169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159"/>
      <c r="V29" s="159"/>
      <c r="W29" s="159"/>
      <c r="X29" s="159"/>
      <c r="Y29" s="159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59"/>
      <c r="V30" s="159"/>
      <c r="W30" s="159"/>
      <c r="X30" s="159"/>
      <c r="Y30" s="159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59"/>
      <c r="V31" s="159"/>
      <c r="W31" s="159"/>
      <c r="X31" s="159"/>
      <c r="Y31" s="159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25:D25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3:G23 J23:T23">
      <formula1>"P,F"</formula1>
    </dataValidation>
    <dataValidation type="list" allowBlank="1" showInputMessage="1" showErrorMessage="1" prompt=" - " sqref="F8:T21">
      <formula1>"O"</formula1>
    </dataValidation>
    <dataValidation type="list" allowBlank="1" showInputMessage="1" showErrorMessage="1" prompt="Nhấp và nhập một giá trị từ danh sách các mục" sqref="H23:I23">
      <formula1>"P,F,N/A"</formula1>
    </dataValidation>
    <dataValidation type="list" allowBlank="1" showInputMessage="1" showErrorMessage="1" prompt="Click and enter a value from the list of items" sqref="F22:T22">
      <formula1>"A,B,N"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106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COUNTIF(F37:HU37,"P")</f>
        <v>7</v>
      </c>
      <c r="B5" s="165"/>
      <c r="C5" s="164">
        <f>COUNTIF(H37:HW37,"F")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COUNTIF(E36:HU36,"N")</f>
        <v>1</v>
      </c>
      <c r="M5" s="168">
        <f>COUNTIF(F36:HV36,"A")</f>
        <v>4</v>
      </c>
      <c r="N5" s="168">
        <f>COUNTIF(G36:HW36,"B")</f>
        <v>2</v>
      </c>
      <c r="O5" s="167">
        <f>COUNTA(F7:HX7)</f>
        <v>7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205" t="s">
        <v>167</v>
      </c>
      <c r="J9" s="211" t="s">
        <v>167</v>
      </c>
      <c r="K9" s="211" t="s">
        <v>167</v>
      </c>
      <c r="L9" s="276" t="s">
        <v>167</v>
      </c>
      <c r="M9" s="276"/>
      <c r="N9" s="276"/>
      <c r="O9" s="211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7" t="s">
        <v>272</v>
      </c>
      <c r="C10" s="154"/>
      <c r="D10" s="152"/>
      <c r="E10" s="184"/>
      <c r="F10" s="188"/>
      <c r="G10" s="238"/>
      <c r="H10" s="238"/>
      <c r="I10" s="188"/>
      <c r="J10" s="188"/>
      <c r="K10" s="188"/>
      <c r="L10" s="238"/>
      <c r="M10" s="238"/>
      <c r="N10" s="238"/>
      <c r="O10" s="188"/>
      <c r="P10" s="188"/>
      <c r="Q10" s="188"/>
      <c r="R10" s="188"/>
      <c r="S10" s="238"/>
      <c r="T10" s="208"/>
      <c r="U10" s="159"/>
      <c r="V10" s="159"/>
      <c r="W10" s="159"/>
      <c r="X10" s="159"/>
      <c r="Y10" s="159"/>
    </row>
    <row r="11">
      <c r="A11" s="182"/>
      <c r="B11" s="183" t="s">
        <v>248</v>
      </c>
      <c r="C11" s="154"/>
      <c r="D11" s="152"/>
      <c r="E11" s="184"/>
      <c r="F11" s="185" t="s">
        <v>167</v>
      </c>
      <c r="G11" s="185"/>
      <c r="H11" s="211" t="s">
        <v>167</v>
      </c>
      <c r="I11" s="211" t="s">
        <v>167</v>
      </c>
      <c r="J11" s="211" t="s">
        <v>167</v>
      </c>
      <c r="K11" s="211" t="s">
        <v>167</v>
      </c>
      <c r="L11" s="276" t="s">
        <v>167</v>
      </c>
      <c r="M11" s="276"/>
      <c r="N11" s="276"/>
      <c r="O11" s="211"/>
      <c r="P11" s="185"/>
      <c r="Q11" s="185"/>
      <c r="R11" s="212"/>
      <c r="S11" s="212"/>
      <c r="T11" s="260"/>
      <c r="U11" s="159"/>
      <c r="V11" s="159"/>
      <c r="W11" s="159"/>
      <c r="X11" s="159"/>
      <c r="Y11" s="159"/>
    </row>
    <row r="12">
      <c r="A12" s="182"/>
      <c r="B12" s="190" t="s">
        <v>249</v>
      </c>
      <c r="C12" s="154"/>
      <c r="D12" s="152"/>
      <c r="E12" s="249"/>
      <c r="F12" s="212"/>
      <c r="G12" s="211" t="s">
        <v>167</v>
      </c>
      <c r="H12" s="243"/>
      <c r="I12" s="210"/>
      <c r="J12" s="210"/>
      <c r="K12" s="212"/>
      <c r="L12" s="243"/>
      <c r="M12" s="243"/>
      <c r="N12" s="243"/>
      <c r="O12" s="212"/>
      <c r="P12" s="212"/>
      <c r="Q12" s="212"/>
      <c r="R12" s="212"/>
      <c r="S12" s="212"/>
      <c r="T12" s="277"/>
      <c r="U12" s="159"/>
      <c r="V12" s="159"/>
      <c r="W12" s="159"/>
      <c r="X12" s="159"/>
      <c r="Y12" s="159"/>
    </row>
    <row r="13">
      <c r="A13" s="182"/>
      <c r="B13" s="187" t="s">
        <v>273</v>
      </c>
      <c r="C13" s="154"/>
      <c r="D13" s="152"/>
      <c r="E13" s="249"/>
      <c r="F13" s="212"/>
      <c r="G13" s="212"/>
      <c r="H13" s="243"/>
      <c r="I13" s="210"/>
      <c r="J13" s="210"/>
      <c r="K13" s="212"/>
      <c r="L13" s="243"/>
      <c r="M13" s="243"/>
      <c r="N13" s="243"/>
      <c r="O13" s="212"/>
      <c r="P13" s="212"/>
      <c r="Q13" s="212"/>
      <c r="R13" s="212"/>
      <c r="S13" s="212"/>
      <c r="T13" s="277"/>
      <c r="U13" s="159"/>
      <c r="V13" s="159"/>
      <c r="W13" s="159"/>
      <c r="X13" s="159"/>
      <c r="Y13" s="159"/>
    </row>
    <row r="14">
      <c r="A14" s="182"/>
      <c r="B14" s="190" t="s">
        <v>274</v>
      </c>
      <c r="C14" s="154"/>
      <c r="D14" s="152"/>
      <c r="E14" s="249"/>
      <c r="F14" s="211" t="s">
        <v>167</v>
      </c>
      <c r="G14" s="211" t="s">
        <v>167</v>
      </c>
      <c r="H14" s="243"/>
      <c r="I14" s="210"/>
      <c r="J14" s="210"/>
      <c r="K14" s="211" t="s">
        <v>167</v>
      </c>
      <c r="L14" s="276" t="s">
        <v>167</v>
      </c>
      <c r="M14" s="276"/>
      <c r="N14" s="276"/>
      <c r="O14" s="211"/>
      <c r="P14" s="212"/>
      <c r="Q14" s="212"/>
      <c r="R14" s="212"/>
      <c r="S14" s="212"/>
      <c r="T14" s="277"/>
      <c r="U14" s="159"/>
      <c r="V14" s="159"/>
      <c r="W14" s="159"/>
      <c r="X14" s="159"/>
      <c r="Y14" s="159"/>
    </row>
    <row r="15">
      <c r="A15" s="182"/>
      <c r="B15" s="190" t="s">
        <v>170</v>
      </c>
      <c r="C15" s="154"/>
      <c r="D15" s="152"/>
      <c r="E15" s="249"/>
      <c r="F15" s="212"/>
      <c r="G15" s="212"/>
      <c r="H15" s="211" t="s">
        <v>167</v>
      </c>
      <c r="I15" s="210"/>
      <c r="J15" s="210"/>
      <c r="K15" s="212"/>
      <c r="L15" s="243"/>
      <c r="M15" s="243"/>
      <c r="N15" s="243"/>
      <c r="O15" s="212"/>
      <c r="P15" s="212"/>
      <c r="Q15" s="212"/>
      <c r="R15" s="212"/>
      <c r="S15" s="212"/>
      <c r="T15" s="277"/>
      <c r="U15" s="159"/>
      <c r="V15" s="159"/>
      <c r="W15" s="159"/>
      <c r="X15" s="159"/>
      <c r="Y15" s="159"/>
    </row>
    <row r="16">
      <c r="A16" s="182"/>
      <c r="B16" s="190" t="s">
        <v>217</v>
      </c>
      <c r="C16" s="154"/>
      <c r="D16" s="152"/>
      <c r="E16" s="249"/>
      <c r="F16" s="212"/>
      <c r="G16" s="212"/>
      <c r="H16" s="243"/>
      <c r="I16" s="211" t="s">
        <v>167</v>
      </c>
      <c r="J16" s="210"/>
      <c r="K16" s="212"/>
      <c r="L16" s="243"/>
      <c r="M16" s="243"/>
      <c r="N16" s="243"/>
      <c r="O16" s="212"/>
      <c r="P16" s="212"/>
      <c r="Q16" s="212"/>
      <c r="R16" s="212"/>
      <c r="S16" s="212"/>
      <c r="T16" s="277"/>
      <c r="U16" s="159"/>
      <c r="V16" s="159"/>
      <c r="W16" s="159"/>
      <c r="X16" s="159"/>
      <c r="Y16" s="159"/>
    </row>
    <row r="17">
      <c r="A17" s="182"/>
      <c r="B17" s="190" t="s">
        <v>275</v>
      </c>
      <c r="C17" s="154"/>
      <c r="D17" s="152"/>
      <c r="E17" s="249"/>
      <c r="F17" s="212"/>
      <c r="G17" s="212"/>
      <c r="H17" s="243"/>
      <c r="I17" s="210"/>
      <c r="J17" s="211" t="s">
        <v>167</v>
      </c>
      <c r="K17" s="212"/>
      <c r="L17" s="243"/>
      <c r="M17" s="243"/>
      <c r="N17" s="243"/>
      <c r="O17" s="212"/>
      <c r="P17" s="212"/>
      <c r="Q17" s="212"/>
      <c r="R17" s="212"/>
      <c r="S17" s="212"/>
      <c r="T17" s="277"/>
      <c r="U17" s="159"/>
      <c r="V17" s="159"/>
      <c r="W17" s="159"/>
      <c r="X17" s="159"/>
      <c r="Y17" s="159"/>
    </row>
    <row r="18">
      <c r="A18" s="182"/>
      <c r="B18" s="187" t="s">
        <v>276</v>
      </c>
      <c r="C18" s="154"/>
      <c r="D18" s="152"/>
      <c r="E18" s="249"/>
      <c r="F18" s="212"/>
      <c r="G18" s="212"/>
      <c r="H18" s="243"/>
      <c r="I18" s="210"/>
      <c r="J18" s="210"/>
      <c r="K18" s="212"/>
      <c r="L18" s="243"/>
      <c r="M18" s="243"/>
      <c r="N18" s="243"/>
      <c r="O18" s="212"/>
      <c r="P18" s="212"/>
      <c r="Q18" s="212"/>
      <c r="R18" s="212"/>
      <c r="S18" s="212"/>
      <c r="T18" s="277"/>
      <c r="U18" s="159"/>
      <c r="V18" s="159"/>
      <c r="W18" s="159"/>
      <c r="X18" s="159"/>
      <c r="Y18" s="159"/>
    </row>
    <row r="19">
      <c r="A19" s="182"/>
      <c r="B19" s="190" t="s">
        <v>277</v>
      </c>
      <c r="C19" s="154"/>
      <c r="D19" s="152"/>
      <c r="E19" s="249"/>
      <c r="F19" s="211" t="s">
        <v>167</v>
      </c>
      <c r="G19" s="211" t="s">
        <v>167</v>
      </c>
      <c r="H19" s="211" t="s">
        <v>167</v>
      </c>
      <c r="I19" s="211" t="s">
        <v>167</v>
      </c>
      <c r="J19" s="211" t="s">
        <v>167</v>
      </c>
      <c r="K19" s="212"/>
      <c r="L19" s="212" t="s">
        <v>167</v>
      </c>
      <c r="M19" s="276"/>
      <c r="N19" s="276"/>
      <c r="O19" s="211"/>
      <c r="P19" s="212"/>
      <c r="Q19" s="212"/>
      <c r="R19" s="212"/>
      <c r="S19" s="212"/>
      <c r="T19" s="277"/>
      <c r="U19" s="159"/>
      <c r="V19" s="159"/>
      <c r="W19" s="159"/>
      <c r="X19" s="159"/>
      <c r="Y19" s="159"/>
    </row>
    <row r="20">
      <c r="A20" s="182"/>
      <c r="B20" s="190" t="s">
        <v>278</v>
      </c>
      <c r="C20" s="154"/>
      <c r="D20" s="152"/>
      <c r="E20" s="249"/>
      <c r="F20" s="212"/>
      <c r="G20" s="212"/>
      <c r="H20" s="243"/>
      <c r="I20" s="210"/>
      <c r="J20" s="210"/>
      <c r="K20" s="211" t="s">
        <v>167</v>
      </c>
      <c r="L20" s="243"/>
      <c r="M20" s="243"/>
      <c r="N20" s="243"/>
      <c r="O20" s="212"/>
      <c r="P20" s="212"/>
      <c r="Q20" s="212"/>
      <c r="R20" s="212"/>
      <c r="S20" s="212"/>
      <c r="T20" s="277"/>
      <c r="U20" s="159"/>
      <c r="V20" s="159"/>
      <c r="W20" s="159"/>
      <c r="X20" s="159"/>
      <c r="Y20" s="159"/>
    </row>
    <row r="21">
      <c r="A21" s="182"/>
      <c r="B21" s="187" t="s">
        <v>279</v>
      </c>
      <c r="C21" s="154"/>
      <c r="D21" s="152"/>
      <c r="E21" s="249"/>
      <c r="F21" s="212"/>
      <c r="G21" s="212"/>
      <c r="H21" s="243"/>
      <c r="I21" s="210"/>
      <c r="J21" s="210"/>
      <c r="K21" s="212"/>
      <c r="L21" s="278"/>
      <c r="M21" s="243"/>
      <c r="N21" s="243"/>
      <c r="O21" s="212"/>
      <c r="P21" s="212"/>
      <c r="Q21" s="212"/>
      <c r="R21" s="212"/>
      <c r="S21" s="212"/>
      <c r="T21" s="277"/>
      <c r="U21" s="159"/>
      <c r="V21" s="159"/>
      <c r="W21" s="159"/>
      <c r="X21" s="159"/>
      <c r="Y21" s="159"/>
    </row>
    <row r="22">
      <c r="A22" s="182"/>
      <c r="B22" s="190" t="s">
        <v>280</v>
      </c>
      <c r="C22" s="154"/>
      <c r="D22" s="152"/>
      <c r="E22" s="249"/>
      <c r="F22" s="211" t="s">
        <v>167</v>
      </c>
      <c r="G22" s="211" t="s">
        <v>167</v>
      </c>
      <c r="H22" s="211" t="s">
        <v>167</v>
      </c>
      <c r="I22" s="211" t="s">
        <v>167</v>
      </c>
      <c r="J22" s="211" t="s">
        <v>167</v>
      </c>
      <c r="K22" s="211" t="s">
        <v>167</v>
      </c>
      <c r="L22" s="278"/>
      <c r="M22" s="243"/>
      <c r="N22" s="243"/>
      <c r="O22" s="212"/>
      <c r="P22" s="212"/>
      <c r="Q22" s="212"/>
      <c r="R22" s="212"/>
      <c r="S22" s="212"/>
      <c r="T22" s="277"/>
      <c r="U22" s="159"/>
      <c r="V22" s="159"/>
      <c r="W22" s="159"/>
      <c r="X22" s="159"/>
      <c r="Y22" s="159"/>
    </row>
    <row r="23">
      <c r="A23" s="192"/>
      <c r="B23" s="247" t="s">
        <v>281</v>
      </c>
      <c r="C23" s="194"/>
      <c r="D23" s="195"/>
      <c r="E23" s="196"/>
      <c r="F23" s="197"/>
      <c r="G23" s="198"/>
      <c r="H23" s="198"/>
      <c r="I23" s="198"/>
      <c r="J23" s="198"/>
      <c r="K23" s="197"/>
      <c r="L23" s="198" t="s">
        <v>167</v>
      </c>
      <c r="M23" s="198"/>
      <c r="N23" s="198"/>
      <c r="O23" s="199"/>
      <c r="P23" s="197"/>
      <c r="Q23" s="198"/>
      <c r="R23" s="197"/>
      <c r="S23" s="239"/>
      <c r="T23" s="262"/>
      <c r="U23" s="159"/>
      <c r="V23" s="159"/>
      <c r="W23" s="159"/>
      <c r="X23" s="159"/>
      <c r="Y23" s="159"/>
    </row>
    <row r="24">
      <c r="A24" s="174" t="s">
        <v>183</v>
      </c>
      <c r="B24" s="201" t="s">
        <v>184</v>
      </c>
      <c r="D24" s="202"/>
      <c r="E24" s="203"/>
      <c r="F24" s="179"/>
      <c r="G24" s="240"/>
      <c r="H24" s="240"/>
      <c r="I24" s="179"/>
      <c r="J24" s="179"/>
      <c r="K24" s="179"/>
      <c r="L24" s="240"/>
      <c r="M24" s="240"/>
      <c r="N24" s="240"/>
      <c r="O24" s="179"/>
      <c r="P24" s="179"/>
      <c r="Q24" s="179"/>
      <c r="R24" s="179"/>
      <c r="S24" s="240"/>
      <c r="T24" s="263"/>
      <c r="U24" s="159"/>
      <c r="V24" s="159"/>
      <c r="W24" s="159"/>
      <c r="X24" s="159"/>
      <c r="Y24" s="159"/>
    </row>
    <row r="25">
      <c r="A25" s="182"/>
      <c r="B25" s="204" t="b">
        <v>1</v>
      </c>
      <c r="C25" s="154"/>
      <c r="D25" s="152"/>
      <c r="E25" s="184"/>
      <c r="F25" s="185" t="s">
        <v>167</v>
      </c>
      <c r="G25" s="238"/>
      <c r="H25" s="238"/>
      <c r="I25" s="188"/>
      <c r="J25" s="188"/>
      <c r="K25" s="188"/>
      <c r="L25" s="238"/>
      <c r="M25" s="238"/>
      <c r="N25" s="238"/>
      <c r="O25" s="188"/>
      <c r="P25" s="188"/>
      <c r="Q25" s="188"/>
      <c r="R25" s="188"/>
      <c r="S25" s="238"/>
      <c r="T25" s="208"/>
      <c r="U25" s="159"/>
      <c r="V25" s="159"/>
      <c r="W25" s="159"/>
      <c r="X25" s="159"/>
      <c r="Y25" s="159"/>
    </row>
    <row r="26">
      <c r="A26" s="182"/>
      <c r="B26" s="204" t="b">
        <v>0</v>
      </c>
      <c r="C26" s="154"/>
      <c r="D26" s="152"/>
      <c r="E26" s="184"/>
      <c r="F26" s="188"/>
      <c r="G26" s="185"/>
      <c r="H26" s="185"/>
      <c r="I26" s="185"/>
      <c r="J26" s="185" t="s">
        <v>167</v>
      </c>
      <c r="K26" s="205" t="s">
        <v>167</v>
      </c>
      <c r="L26" s="212" t="s">
        <v>167</v>
      </c>
      <c r="M26" s="276"/>
      <c r="N26" s="276"/>
      <c r="O26" s="185"/>
      <c r="P26" s="185"/>
      <c r="Q26" s="185"/>
      <c r="R26" s="185"/>
      <c r="S26" s="185"/>
      <c r="T26" s="260"/>
      <c r="U26" s="159"/>
      <c r="V26" s="159"/>
      <c r="W26" s="159"/>
      <c r="X26" s="159"/>
      <c r="Y26" s="159"/>
    </row>
    <row r="27">
      <c r="A27" s="182"/>
      <c r="B27" s="206" t="s">
        <v>185</v>
      </c>
      <c r="C27" s="154"/>
      <c r="D27" s="152"/>
      <c r="E27" s="207"/>
      <c r="F27" s="188"/>
      <c r="G27" s="238"/>
      <c r="H27" s="238"/>
      <c r="I27" s="188"/>
      <c r="J27" s="188"/>
      <c r="K27" s="188"/>
      <c r="L27" s="238"/>
      <c r="M27" s="238"/>
      <c r="N27" s="238"/>
      <c r="O27" s="188"/>
      <c r="P27" s="188"/>
      <c r="Q27" s="188"/>
      <c r="R27" s="188"/>
      <c r="S27" s="238"/>
      <c r="T27" s="208"/>
      <c r="U27" s="159"/>
      <c r="V27" s="159"/>
      <c r="W27" s="159"/>
      <c r="X27" s="159"/>
      <c r="Y27" s="159"/>
    </row>
    <row r="28" ht="15.75" customHeight="1">
      <c r="A28" s="182"/>
      <c r="B28" s="183" t="s">
        <v>221</v>
      </c>
      <c r="C28" s="154"/>
      <c r="D28" s="152"/>
      <c r="E28" s="207"/>
      <c r="F28" s="185"/>
      <c r="G28" s="238"/>
      <c r="H28" s="238"/>
      <c r="I28" s="185"/>
      <c r="J28" s="185"/>
      <c r="K28" s="185"/>
      <c r="L28" s="238"/>
      <c r="M28" s="238"/>
      <c r="N28" s="238"/>
      <c r="O28" s="185"/>
      <c r="P28" s="212"/>
      <c r="Q28" s="212"/>
      <c r="R28" s="188"/>
      <c r="S28" s="185"/>
      <c r="T28" s="260"/>
      <c r="U28" s="159"/>
      <c r="V28" s="159"/>
      <c r="W28" s="159"/>
      <c r="X28" s="159"/>
      <c r="Y28" s="159"/>
    </row>
    <row r="29" ht="15.75" customHeight="1">
      <c r="A29" s="182"/>
      <c r="B29" s="183" t="s">
        <v>186</v>
      </c>
      <c r="C29" s="154"/>
      <c r="D29" s="152"/>
      <c r="E29" s="207"/>
      <c r="F29" s="185"/>
      <c r="G29" s="185" t="s">
        <v>167</v>
      </c>
      <c r="H29" s="211" t="s">
        <v>167</v>
      </c>
      <c r="I29" s="211" t="s">
        <v>167</v>
      </c>
      <c r="J29" s="211"/>
      <c r="K29" s="211"/>
      <c r="L29" s="278"/>
      <c r="M29" s="276"/>
      <c r="N29" s="276"/>
      <c r="O29" s="211"/>
      <c r="P29" s="212"/>
      <c r="Q29" s="212"/>
      <c r="R29" s="188"/>
      <c r="S29" s="185"/>
      <c r="T29" s="260"/>
      <c r="U29" s="159"/>
      <c r="V29" s="159"/>
      <c r="W29" s="159"/>
      <c r="X29" s="159"/>
      <c r="Y29" s="159"/>
    </row>
    <row r="30" ht="15.75" customHeight="1">
      <c r="A30" s="182"/>
      <c r="B30" s="206" t="s">
        <v>187</v>
      </c>
      <c r="C30" s="154"/>
      <c r="D30" s="152"/>
      <c r="E30" s="184"/>
      <c r="F30" s="209"/>
      <c r="G30" s="242"/>
      <c r="H30" s="185"/>
      <c r="I30" s="209"/>
      <c r="J30" s="209"/>
      <c r="K30" s="209"/>
      <c r="L30" s="242"/>
      <c r="M30" s="209"/>
      <c r="N30" s="209"/>
      <c r="O30" s="209"/>
      <c r="P30" s="209"/>
      <c r="Q30" s="209"/>
      <c r="R30" s="209"/>
      <c r="S30" s="242"/>
      <c r="T30" s="264"/>
      <c r="U30" s="159"/>
      <c r="V30" s="159"/>
      <c r="W30" s="159"/>
      <c r="X30" s="159"/>
      <c r="Y30" s="159"/>
    </row>
    <row r="31" ht="15.75" customHeight="1">
      <c r="A31" s="182"/>
      <c r="B31" s="190" t="s">
        <v>271</v>
      </c>
      <c r="C31" s="154"/>
      <c r="D31" s="152"/>
      <c r="E31" s="184"/>
      <c r="F31" s="185"/>
      <c r="G31" s="205" t="s">
        <v>167</v>
      </c>
      <c r="H31" s="238"/>
      <c r="I31" s="185"/>
      <c r="J31" s="185"/>
      <c r="K31" s="188"/>
      <c r="L31" s="238"/>
      <c r="M31" s="185"/>
      <c r="N31" s="185"/>
      <c r="O31" s="185"/>
      <c r="P31" s="188"/>
      <c r="Q31" s="188"/>
      <c r="R31" s="188"/>
      <c r="S31" s="238"/>
      <c r="T31" s="208"/>
      <c r="U31" s="159"/>
      <c r="V31" s="159"/>
      <c r="W31" s="159"/>
      <c r="X31" s="159"/>
      <c r="Y31" s="159"/>
    </row>
    <row r="32" ht="15.75" customHeight="1">
      <c r="A32" s="182"/>
      <c r="B32" s="190" t="s">
        <v>282</v>
      </c>
      <c r="C32" s="154"/>
      <c r="D32" s="152"/>
      <c r="E32" s="249"/>
      <c r="F32" s="212"/>
      <c r="G32" s="212"/>
      <c r="H32" s="211" t="s">
        <v>167</v>
      </c>
      <c r="I32" s="211" t="s">
        <v>167</v>
      </c>
      <c r="J32" s="212"/>
      <c r="K32" s="210"/>
      <c r="L32" s="243"/>
      <c r="M32" s="212"/>
      <c r="N32" s="212"/>
      <c r="O32" s="212"/>
      <c r="P32" s="210"/>
      <c r="Q32" s="210"/>
      <c r="R32" s="210"/>
      <c r="S32" s="243"/>
      <c r="T32" s="261"/>
      <c r="U32" s="159"/>
      <c r="V32" s="159"/>
      <c r="W32" s="159"/>
      <c r="X32" s="159"/>
      <c r="Y32" s="159"/>
    </row>
    <row r="33" ht="15.75" customHeight="1">
      <c r="A33" s="182"/>
      <c r="B33" s="190" t="s">
        <v>283</v>
      </c>
      <c r="C33" s="154"/>
      <c r="D33" s="152"/>
      <c r="E33" s="249"/>
      <c r="F33" s="212"/>
      <c r="G33" s="212"/>
      <c r="H33" s="211"/>
      <c r="I33" s="211"/>
      <c r="J33" s="211" t="s">
        <v>167</v>
      </c>
      <c r="K33" s="210"/>
      <c r="L33" s="243"/>
      <c r="M33" s="212"/>
      <c r="N33" s="212"/>
      <c r="O33" s="212"/>
      <c r="P33" s="210"/>
      <c r="Q33" s="210"/>
      <c r="R33" s="210"/>
      <c r="S33" s="243"/>
      <c r="T33" s="261"/>
      <c r="U33" s="159"/>
      <c r="V33" s="159"/>
      <c r="W33" s="159"/>
      <c r="X33" s="159"/>
      <c r="Y33" s="159"/>
    </row>
    <row r="34" ht="15.75" customHeight="1">
      <c r="A34" s="182"/>
      <c r="B34" s="190" t="s">
        <v>284</v>
      </c>
      <c r="C34" s="154"/>
      <c r="D34" s="152"/>
      <c r="E34" s="249"/>
      <c r="F34" s="212"/>
      <c r="G34" s="212"/>
      <c r="H34" s="211"/>
      <c r="I34" s="211"/>
      <c r="J34" s="211"/>
      <c r="K34" s="211" t="s">
        <v>167</v>
      </c>
      <c r="L34" s="243"/>
      <c r="M34" s="212"/>
      <c r="N34" s="212"/>
      <c r="O34" s="212"/>
      <c r="P34" s="210"/>
      <c r="Q34" s="210"/>
      <c r="R34" s="210"/>
      <c r="S34" s="243"/>
      <c r="T34" s="261"/>
      <c r="U34" s="159"/>
      <c r="V34" s="159"/>
      <c r="W34" s="159"/>
      <c r="X34" s="159"/>
      <c r="Y34" s="159"/>
    </row>
    <row r="35" ht="15.75" customHeight="1">
      <c r="A35" s="182"/>
      <c r="B35" s="213" t="s">
        <v>285</v>
      </c>
      <c r="C35" s="214"/>
      <c r="D35" s="215"/>
      <c r="E35" s="216"/>
      <c r="F35" s="217"/>
      <c r="G35" s="199"/>
      <c r="H35" s="198"/>
      <c r="I35" s="198"/>
      <c r="J35" s="198"/>
      <c r="K35" s="217"/>
      <c r="L35" s="198" t="s">
        <v>167</v>
      </c>
      <c r="M35" s="217"/>
      <c r="N35" s="217"/>
      <c r="O35" s="217"/>
      <c r="P35" s="218"/>
      <c r="Q35" s="218"/>
      <c r="R35" s="218"/>
      <c r="S35" s="244"/>
      <c r="T35" s="265"/>
      <c r="U35" s="159"/>
      <c r="V35" s="159"/>
      <c r="W35" s="159"/>
      <c r="X35" s="159"/>
      <c r="Y35" s="159"/>
    </row>
    <row r="36" ht="15.75" customHeight="1">
      <c r="A36" s="220" t="s">
        <v>196</v>
      </c>
      <c r="B36" s="221" t="s">
        <v>197</v>
      </c>
      <c r="C36" s="176"/>
      <c r="D36" s="177"/>
      <c r="E36" s="178"/>
      <c r="F36" s="222" t="s">
        <v>137</v>
      </c>
      <c r="G36" s="222" t="s">
        <v>61</v>
      </c>
      <c r="H36" s="222" t="s">
        <v>61</v>
      </c>
      <c r="I36" s="222" t="s">
        <v>61</v>
      </c>
      <c r="J36" s="223" t="s">
        <v>138</v>
      </c>
      <c r="K36" s="222" t="s">
        <v>61</v>
      </c>
      <c r="L36" s="222" t="s">
        <v>138</v>
      </c>
      <c r="M36" s="223"/>
      <c r="N36" s="223"/>
      <c r="O36" s="222"/>
      <c r="P36" s="222"/>
      <c r="Q36" s="222"/>
      <c r="R36" s="222"/>
      <c r="S36" s="222"/>
      <c r="T36" s="267"/>
      <c r="U36" s="159"/>
      <c r="V36" s="159"/>
      <c r="W36" s="159"/>
      <c r="X36" s="159"/>
      <c r="Y36" s="159"/>
    </row>
    <row r="37" ht="15.75" customHeight="1">
      <c r="A37" s="182"/>
      <c r="B37" s="221" t="s">
        <v>198</v>
      </c>
      <c r="C37" s="176"/>
      <c r="D37" s="177"/>
      <c r="E37" s="184"/>
      <c r="F37" s="225" t="s">
        <v>199</v>
      </c>
      <c r="G37" s="268" t="s">
        <v>199</v>
      </c>
      <c r="H37" s="268" t="s">
        <v>199</v>
      </c>
      <c r="I37" s="268" t="s">
        <v>199</v>
      </c>
      <c r="J37" s="268" t="s">
        <v>199</v>
      </c>
      <c r="K37" s="268" t="s">
        <v>199</v>
      </c>
      <c r="L37" s="268" t="s">
        <v>199</v>
      </c>
      <c r="M37" s="268"/>
      <c r="N37" s="268"/>
      <c r="O37" s="225"/>
      <c r="P37" s="225"/>
      <c r="Q37" s="225"/>
      <c r="R37" s="225"/>
      <c r="S37" s="225"/>
      <c r="T37" s="226"/>
      <c r="U37" s="159"/>
      <c r="V37" s="159"/>
      <c r="W37" s="159"/>
      <c r="X37" s="159"/>
      <c r="Y37" s="159"/>
    </row>
    <row r="38" ht="15.75" customHeight="1">
      <c r="A38" s="182"/>
      <c r="B38" s="221" t="s">
        <v>200</v>
      </c>
      <c r="C38" s="176"/>
      <c r="D38" s="177"/>
      <c r="E38" s="184"/>
      <c r="F38" s="227">
        <v>45969.0</v>
      </c>
      <c r="G38" s="227">
        <v>45969.0</v>
      </c>
      <c r="H38" s="227">
        <v>45969.0</v>
      </c>
      <c r="I38" s="227">
        <v>45969.0</v>
      </c>
      <c r="J38" s="227">
        <v>45969.0</v>
      </c>
      <c r="K38" s="227">
        <v>45969.0</v>
      </c>
      <c r="L38" s="227">
        <v>45969.0</v>
      </c>
      <c r="M38" s="227"/>
      <c r="N38" s="227"/>
      <c r="O38" s="228"/>
      <c r="P38" s="228"/>
      <c r="Q38" s="228"/>
      <c r="R38" s="228"/>
      <c r="S38" s="246"/>
      <c r="T38" s="274"/>
      <c r="U38" s="159"/>
      <c r="V38" s="159"/>
      <c r="W38" s="159"/>
      <c r="X38" s="159"/>
      <c r="Y38" s="159"/>
    </row>
    <row r="39" ht="15.75" customHeight="1">
      <c r="A39" s="182"/>
      <c r="B39" s="230" t="s">
        <v>201</v>
      </c>
      <c r="C39" s="231"/>
      <c r="D39" s="232"/>
      <c r="E39" s="233"/>
      <c r="F39" s="217"/>
      <c r="G39" s="217"/>
      <c r="H39" s="217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70"/>
      <c r="T39" s="275"/>
      <c r="U39" s="159"/>
      <c r="V39" s="159"/>
      <c r="W39" s="159"/>
      <c r="X39" s="159"/>
      <c r="Y39" s="159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59"/>
      <c r="V40" s="159"/>
      <c r="W40" s="159"/>
      <c r="X40" s="159"/>
      <c r="Y40" s="159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59"/>
      <c r="V41" s="159"/>
      <c r="W41" s="159"/>
      <c r="X41" s="159"/>
      <c r="Y41" s="159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59"/>
      <c r="V42" s="159"/>
      <c r="W42" s="159"/>
      <c r="X42" s="159"/>
      <c r="Y42" s="159"/>
    </row>
    <row r="43" ht="15.75" customHeight="1">
      <c r="A43" s="161"/>
      <c r="B43" s="161"/>
      <c r="C43" s="161"/>
      <c r="D43" s="161"/>
      <c r="E43" s="169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159"/>
      <c r="V43" s="159"/>
      <c r="W43" s="159"/>
      <c r="X43" s="159"/>
      <c r="Y43" s="159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59"/>
      <c r="V44" s="159"/>
      <c r="W44" s="159"/>
      <c r="X44" s="159"/>
      <c r="Y44" s="159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59"/>
      <c r="V45" s="159"/>
      <c r="W45" s="159"/>
      <c r="X45" s="159"/>
      <c r="Y45" s="159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51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36:D36"/>
    <mergeCell ref="B37:D37"/>
    <mergeCell ref="B38:D38"/>
    <mergeCell ref="B39:D39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7:T37">
      <formula1>"P,F"</formula1>
    </dataValidation>
    <dataValidation type="list" allowBlank="1" showInputMessage="1" showErrorMessage="1" prompt=" - " sqref="F8:T35">
      <formula1>"O"</formula1>
    </dataValidation>
    <dataValidation type="list" allowBlank="1" showInputMessage="1" showErrorMessage="1" prompt="Click and enter a value from the list of items" sqref="F36:T36">
      <formula1>"A,B,N"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107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COUNTIF(F37:HU37,"P")</f>
        <v>7</v>
      </c>
      <c r="B5" s="165"/>
      <c r="C5" s="164">
        <f>COUNTIF(H37:HW37,"F")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COUNTIF(E36:HU36,"N")</f>
        <v>1</v>
      </c>
      <c r="M5" s="168">
        <f>COUNTIF(F36:HV36,"A")</f>
        <v>4</v>
      </c>
      <c r="N5" s="168">
        <f>COUNTIF(G36:HW36,"B")</f>
        <v>2</v>
      </c>
      <c r="O5" s="167">
        <f>COUNTA(F7:HX7)</f>
        <v>7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 t="s">
        <v>155</v>
      </c>
      <c r="I7" s="171" t="s">
        <v>156</v>
      </c>
      <c r="J7" s="171" t="s">
        <v>157</v>
      </c>
      <c r="K7" s="171" t="s">
        <v>158</v>
      </c>
      <c r="L7" s="171" t="s">
        <v>159</v>
      </c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205" t="s">
        <v>167</v>
      </c>
      <c r="J9" s="211" t="s">
        <v>167</v>
      </c>
      <c r="K9" s="211" t="s">
        <v>167</v>
      </c>
      <c r="L9" s="276" t="s">
        <v>167</v>
      </c>
      <c r="M9" s="276"/>
      <c r="N9" s="276"/>
      <c r="O9" s="211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7" t="s">
        <v>272</v>
      </c>
      <c r="C10" s="154"/>
      <c r="D10" s="152"/>
      <c r="E10" s="184"/>
      <c r="F10" s="188"/>
      <c r="G10" s="238"/>
      <c r="H10" s="238"/>
      <c r="I10" s="188"/>
      <c r="J10" s="188"/>
      <c r="K10" s="188"/>
      <c r="L10" s="238"/>
      <c r="M10" s="238"/>
      <c r="N10" s="238"/>
      <c r="O10" s="188"/>
      <c r="P10" s="188"/>
      <c r="Q10" s="188"/>
      <c r="R10" s="188"/>
      <c r="S10" s="238"/>
      <c r="T10" s="208"/>
      <c r="U10" s="159"/>
      <c r="V10" s="159"/>
      <c r="W10" s="159"/>
      <c r="X10" s="159"/>
      <c r="Y10" s="159"/>
    </row>
    <row r="11">
      <c r="A11" s="182"/>
      <c r="B11" s="183" t="s">
        <v>248</v>
      </c>
      <c r="C11" s="154"/>
      <c r="D11" s="152"/>
      <c r="E11" s="184"/>
      <c r="F11" s="185" t="s">
        <v>167</v>
      </c>
      <c r="G11" s="185"/>
      <c r="H11" s="211" t="s">
        <v>167</v>
      </c>
      <c r="I11" s="211" t="s">
        <v>167</v>
      </c>
      <c r="J11" s="211" t="s">
        <v>167</v>
      </c>
      <c r="K11" s="211" t="s">
        <v>167</v>
      </c>
      <c r="L11" s="276" t="s">
        <v>167</v>
      </c>
      <c r="M11" s="276"/>
      <c r="N11" s="276"/>
      <c r="O11" s="211"/>
      <c r="P11" s="185"/>
      <c r="Q11" s="185"/>
      <c r="R11" s="212"/>
      <c r="S11" s="212"/>
      <c r="T11" s="260"/>
      <c r="U11" s="159"/>
      <c r="V11" s="159"/>
      <c r="W11" s="159"/>
      <c r="X11" s="159"/>
      <c r="Y11" s="159"/>
    </row>
    <row r="12">
      <c r="A12" s="182"/>
      <c r="B12" s="190" t="s">
        <v>249</v>
      </c>
      <c r="C12" s="154"/>
      <c r="D12" s="152"/>
      <c r="E12" s="249"/>
      <c r="F12" s="212"/>
      <c r="G12" s="211" t="s">
        <v>167</v>
      </c>
      <c r="H12" s="243"/>
      <c r="I12" s="210"/>
      <c r="J12" s="210"/>
      <c r="K12" s="212"/>
      <c r="L12" s="243"/>
      <c r="M12" s="243"/>
      <c r="N12" s="243"/>
      <c r="O12" s="212"/>
      <c r="P12" s="212"/>
      <c r="Q12" s="212"/>
      <c r="R12" s="212"/>
      <c r="S12" s="212"/>
      <c r="T12" s="277"/>
      <c r="U12" s="159"/>
      <c r="V12" s="159"/>
      <c r="W12" s="159"/>
      <c r="X12" s="159"/>
      <c r="Y12" s="159"/>
    </row>
    <row r="13">
      <c r="A13" s="182"/>
      <c r="B13" s="187" t="s">
        <v>273</v>
      </c>
      <c r="C13" s="154"/>
      <c r="D13" s="152"/>
      <c r="E13" s="249"/>
      <c r="F13" s="212"/>
      <c r="G13" s="212"/>
      <c r="H13" s="243"/>
      <c r="I13" s="210"/>
      <c r="J13" s="210"/>
      <c r="K13" s="212"/>
      <c r="L13" s="243"/>
      <c r="M13" s="243"/>
      <c r="N13" s="243"/>
      <c r="O13" s="212"/>
      <c r="P13" s="212"/>
      <c r="Q13" s="212"/>
      <c r="R13" s="212"/>
      <c r="S13" s="212"/>
      <c r="T13" s="277"/>
      <c r="U13" s="159"/>
      <c r="V13" s="159"/>
      <c r="W13" s="159"/>
      <c r="X13" s="159"/>
      <c r="Y13" s="159"/>
    </row>
    <row r="14">
      <c r="A14" s="182"/>
      <c r="B14" s="190" t="s">
        <v>274</v>
      </c>
      <c r="C14" s="154"/>
      <c r="D14" s="152"/>
      <c r="E14" s="249"/>
      <c r="F14" s="211" t="s">
        <v>167</v>
      </c>
      <c r="G14" s="211" t="s">
        <v>167</v>
      </c>
      <c r="H14" s="243"/>
      <c r="I14" s="210"/>
      <c r="J14" s="210"/>
      <c r="K14" s="211" t="s">
        <v>167</v>
      </c>
      <c r="L14" s="276" t="s">
        <v>167</v>
      </c>
      <c r="M14" s="276"/>
      <c r="N14" s="276"/>
      <c r="O14" s="211"/>
      <c r="P14" s="212"/>
      <c r="Q14" s="212"/>
      <c r="R14" s="212"/>
      <c r="S14" s="212"/>
      <c r="T14" s="277"/>
      <c r="U14" s="159"/>
      <c r="V14" s="159"/>
      <c r="W14" s="159"/>
      <c r="X14" s="159"/>
      <c r="Y14" s="159"/>
    </row>
    <row r="15">
      <c r="A15" s="182"/>
      <c r="B15" s="190" t="s">
        <v>170</v>
      </c>
      <c r="C15" s="154"/>
      <c r="D15" s="152"/>
      <c r="E15" s="249"/>
      <c r="F15" s="212"/>
      <c r="G15" s="212"/>
      <c r="H15" s="211" t="s">
        <v>167</v>
      </c>
      <c r="I15" s="210"/>
      <c r="J15" s="210"/>
      <c r="K15" s="212"/>
      <c r="L15" s="243"/>
      <c r="M15" s="243"/>
      <c r="N15" s="243"/>
      <c r="O15" s="212"/>
      <c r="P15" s="212"/>
      <c r="Q15" s="212"/>
      <c r="R15" s="212"/>
      <c r="S15" s="212"/>
      <c r="T15" s="277"/>
      <c r="U15" s="159"/>
      <c r="V15" s="159"/>
      <c r="W15" s="159"/>
      <c r="X15" s="159"/>
      <c r="Y15" s="159"/>
    </row>
    <row r="16">
      <c r="A16" s="182"/>
      <c r="B16" s="190" t="s">
        <v>217</v>
      </c>
      <c r="C16" s="154"/>
      <c r="D16" s="152"/>
      <c r="E16" s="249"/>
      <c r="F16" s="212"/>
      <c r="G16" s="212"/>
      <c r="H16" s="243"/>
      <c r="I16" s="211" t="s">
        <v>167</v>
      </c>
      <c r="J16" s="210"/>
      <c r="K16" s="212"/>
      <c r="L16" s="243"/>
      <c r="M16" s="243"/>
      <c r="N16" s="243"/>
      <c r="O16" s="212"/>
      <c r="P16" s="212"/>
      <c r="Q16" s="212"/>
      <c r="R16" s="212"/>
      <c r="S16" s="212"/>
      <c r="T16" s="277"/>
      <c r="U16" s="159"/>
      <c r="V16" s="159"/>
      <c r="W16" s="159"/>
      <c r="X16" s="159"/>
      <c r="Y16" s="159"/>
    </row>
    <row r="17">
      <c r="A17" s="182"/>
      <c r="B17" s="190" t="s">
        <v>275</v>
      </c>
      <c r="C17" s="154"/>
      <c r="D17" s="152"/>
      <c r="E17" s="249"/>
      <c r="F17" s="212"/>
      <c r="G17" s="212"/>
      <c r="H17" s="243"/>
      <c r="I17" s="210"/>
      <c r="J17" s="211" t="s">
        <v>167</v>
      </c>
      <c r="K17" s="212"/>
      <c r="L17" s="243"/>
      <c r="M17" s="243"/>
      <c r="N17" s="243"/>
      <c r="O17" s="212"/>
      <c r="P17" s="212"/>
      <c r="Q17" s="212"/>
      <c r="R17" s="212"/>
      <c r="S17" s="212"/>
      <c r="T17" s="277"/>
      <c r="U17" s="159"/>
      <c r="V17" s="159"/>
      <c r="W17" s="159"/>
      <c r="X17" s="159"/>
      <c r="Y17" s="159"/>
    </row>
    <row r="18">
      <c r="A18" s="182"/>
      <c r="B18" s="187" t="s">
        <v>276</v>
      </c>
      <c r="C18" s="154"/>
      <c r="D18" s="152"/>
      <c r="E18" s="249"/>
      <c r="F18" s="212"/>
      <c r="G18" s="212"/>
      <c r="H18" s="243"/>
      <c r="I18" s="210"/>
      <c r="J18" s="210"/>
      <c r="K18" s="212"/>
      <c r="L18" s="243"/>
      <c r="M18" s="243"/>
      <c r="N18" s="243"/>
      <c r="O18" s="212"/>
      <c r="P18" s="212"/>
      <c r="Q18" s="212"/>
      <c r="R18" s="212"/>
      <c r="S18" s="212"/>
      <c r="T18" s="277"/>
      <c r="U18" s="159"/>
      <c r="V18" s="159"/>
      <c r="W18" s="159"/>
      <c r="X18" s="159"/>
      <c r="Y18" s="159"/>
    </row>
    <row r="19">
      <c r="A19" s="182"/>
      <c r="B19" s="190" t="s">
        <v>277</v>
      </c>
      <c r="C19" s="154"/>
      <c r="D19" s="152"/>
      <c r="E19" s="249"/>
      <c r="F19" s="211" t="s">
        <v>167</v>
      </c>
      <c r="G19" s="211" t="s">
        <v>167</v>
      </c>
      <c r="H19" s="211" t="s">
        <v>167</v>
      </c>
      <c r="I19" s="211" t="s">
        <v>167</v>
      </c>
      <c r="J19" s="211" t="s">
        <v>167</v>
      </c>
      <c r="K19" s="212"/>
      <c r="L19" s="212" t="s">
        <v>167</v>
      </c>
      <c r="M19" s="276"/>
      <c r="N19" s="276"/>
      <c r="O19" s="211"/>
      <c r="P19" s="212"/>
      <c r="Q19" s="212"/>
      <c r="R19" s="212"/>
      <c r="S19" s="212"/>
      <c r="T19" s="277"/>
      <c r="U19" s="159"/>
      <c r="V19" s="159"/>
      <c r="W19" s="159"/>
      <c r="X19" s="159"/>
      <c r="Y19" s="159"/>
    </row>
    <row r="20">
      <c r="A20" s="182"/>
      <c r="B20" s="190" t="s">
        <v>278</v>
      </c>
      <c r="C20" s="154"/>
      <c r="D20" s="152"/>
      <c r="E20" s="249"/>
      <c r="F20" s="212"/>
      <c r="G20" s="212"/>
      <c r="H20" s="243"/>
      <c r="I20" s="210"/>
      <c r="J20" s="210"/>
      <c r="K20" s="211" t="s">
        <v>167</v>
      </c>
      <c r="L20" s="243"/>
      <c r="M20" s="243"/>
      <c r="N20" s="243"/>
      <c r="O20" s="212"/>
      <c r="P20" s="212"/>
      <c r="Q20" s="212"/>
      <c r="R20" s="212"/>
      <c r="S20" s="212"/>
      <c r="T20" s="277"/>
      <c r="U20" s="159"/>
      <c r="V20" s="159"/>
      <c r="W20" s="159"/>
      <c r="X20" s="159"/>
      <c r="Y20" s="159"/>
    </row>
    <row r="21">
      <c r="A21" s="182"/>
      <c r="B21" s="187" t="s">
        <v>279</v>
      </c>
      <c r="C21" s="154"/>
      <c r="D21" s="152"/>
      <c r="E21" s="249"/>
      <c r="F21" s="212"/>
      <c r="G21" s="212"/>
      <c r="H21" s="243"/>
      <c r="I21" s="210"/>
      <c r="J21" s="210"/>
      <c r="K21" s="212"/>
      <c r="L21" s="278"/>
      <c r="M21" s="243"/>
      <c r="N21" s="243"/>
      <c r="O21" s="212"/>
      <c r="P21" s="212"/>
      <c r="Q21" s="212"/>
      <c r="R21" s="212"/>
      <c r="S21" s="212"/>
      <c r="T21" s="277"/>
      <c r="U21" s="159"/>
      <c r="V21" s="159"/>
      <c r="W21" s="159"/>
      <c r="X21" s="159"/>
      <c r="Y21" s="159"/>
    </row>
    <row r="22">
      <c r="A22" s="182"/>
      <c r="B22" s="190" t="s">
        <v>280</v>
      </c>
      <c r="C22" s="154"/>
      <c r="D22" s="152"/>
      <c r="E22" s="249"/>
      <c r="F22" s="211" t="s">
        <v>167</v>
      </c>
      <c r="G22" s="211" t="s">
        <v>167</v>
      </c>
      <c r="H22" s="211" t="s">
        <v>167</v>
      </c>
      <c r="I22" s="211" t="s">
        <v>167</v>
      </c>
      <c r="J22" s="211" t="s">
        <v>167</v>
      </c>
      <c r="K22" s="211" t="s">
        <v>167</v>
      </c>
      <c r="L22" s="278"/>
      <c r="M22" s="243"/>
      <c r="N22" s="243"/>
      <c r="O22" s="212"/>
      <c r="P22" s="212"/>
      <c r="Q22" s="212"/>
      <c r="R22" s="212"/>
      <c r="S22" s="212"/>
      <c r="T22" s="277"/>
      <c r="U22" s="159"/>
      <c r="V22" s="159"/>
      <c r="W22" s="159"/>
      <c r="X22" s="159"/>
      <c r="Y22" s="159"/>
    </row>
    <row r="23">
      <c r="A23" s="192"/>
      <c r="B23" s="247" t="s">
        <v>281</v>
      </c>
      <c r="C23" s="194"/>
      <c r="D23" s="195"/>
      <c r="E23" s="196"/>
      <c r="F23" s="197"/>
      <c r="G23" s="198"/>
      <c r="H23" s="198"/>
      <c r="I23" s="198"/>
      <c r="J23" s="198"/>
      <c r="K23" s="197"/>
      <c r="L23" s="198" t="s">
        <v>167</v>
      </c>
      <c r="M23" s="198"/>
      <c r="N23" s="198"/>
      <c r="O23" s="199"/>
      <c r="P23" s="197"/>
      <c r="Q23" s="198"/>
      <c r="R23" s="197"/>
      <c r="S23" s="239"/>
      <c r="T23" s="262"/>
      <c r="U23" s="159"/>
      <c r="V23" s="159"/>
      <c r="W23" s="159"/>
      <c r="X23" s="159"/>
      <c r="Y23" s="159"/>
    </row>
    <row r="24">
      <c r="A24" s="174" t="s">
        <v>183</v>
      </c>
      <c r="B24" s="201" t="s">
        <v>184</v>
      </c>
      <c r="D24" s="202"/>
      <c r="E24" s="203"/>
      <c r="F24" s="179"/>
      <c r="G24" s="240"/>
      <c r="H24" s="240"/>
      <c r="I24" s="179"/>
      <c r="J24" s="179"/>
      <c r="K24" s="179"/>
      <c r="L24" s="240"/>
      <c r="M24" s="240"/>
      <c r="N24" s="240"/>
      <c r="O24" s="179"/>
      <c r="P24" s="179"/>
      <c r="Q24" s="179"/>
      <c r="R24" s="179"/>
      <c r="S24" s="240"/>
      <c r="T24" s="263"/>
      <c r="U24" s="159"/>
      <c r="V24" s="159"/>
      <c r="W24" s="159"/>
      <c r="X24" s="159"/>
      <c r="Y24" s="159"/>
    </row>
    <row r="25">
      <c r="A25" s="182"/>
      <c r="B25" s="204" t="b">
        <v>1</v>
      </c>
      <c r="C25" s="154"/>
      <c r="D25" s="152"/>
      <c r="E25" s="184"/>
      <c r="F25" s="185" t="s">
        <v>167</v>
      </c>
      <c r="G25" s="238"/>
      <c r="H25" s="238"/>
      <c r="I25" s="188"/>
      <c r="J25" s="188"/>
      <c r="K25" s="188"/>
      <c r="L25" s="238"/>
      <c r="M25" s="238"/>
      <c r="N25" s="238"/>
      <c r="O25" s="188"/>
      <c r="P25" s="188"/>
      <c r="Q25" s="188"/>
      <c r="R25" s="188"/>
      <c r="S25" s="238"/>
      <c r="T25" s="208"/>
      <c r="U25" s="159"/>
      <c r="V25" s="159"/>
      <c r="W25" s="159"/>
      <c r="X25" s="159"/>
      <c r="Y25" s="159"/>
    </row>
    <row r="26">
      <c r="A26" s="182"/>
      <c r="B26" s="204" t="b">
        <v>0</v>
      </c>
      <c r="C26" s="154"/>
      <c r="D26" s="152"/>
      <c r="E26" s="184"/>
      <c r="F26" s="188"/>
      <c r="G26" s="185"/>
      <c r="H26" s="185"/>
      <c r="I26" s="185"/>
      <c r="J26" s="185" t="s">
        <v>167</v>
      </c>
      <c r="K26" s="205" t="s">
        <v>167</v>
      </c>
      <c r="L26" s="212" t="s">
        <v>167</v>
      </c>
      <c r="M26" s="276"/>
      <c r="N26" s="276"/>
      <c r="O26" s="185"/>
      <c r="P26" s="185"/>
      <c r="Q26" s="185"/>
      <c r="R26" s="185"/>
      <c r="S26" s="185"/>
      <c r="T26" s="260"/>
      <c r="U26" s="159"/>
      <c r="V26" s="159"/>
      <c r="W26" s="159"/>
      <c r="X26" s="159"/>
      <c r="Y26" s="159"/>
    </row>
    <row r="27">
      <c r="A27" s="182"/>
      <c r="B27" s="206" t="s">
        <v>185</v>
      </c>
      <c r="C27" s="154"/>
      <c r="D27" s="152"/>
      <c r="E27" s="207"/>
      <c r="F27" s="188"/>
      <c r="G27" s="238"/>
      <c r="H27" s="238"/>
      <c r="I27" s="188"/>
      <c r="J27" s="188"/>
      <c r="K27" s="188"/>
      <c r="L27" s="238"/>
      <c r="M27" s="238"/>
      <c r="N27" s="238"/>
      <c r="O27" s="188"/>
      <c r="P27" s="188"/>
      <c r="Q27" s="188"/>
      <c r="R27" s="188"/>
      <c r="S27" s="238"/>
      <c r="T27" s="208"/>
      <c r="U27" s="159"/>
      <c r="V27" s="159"/>
      <c r="W27" s="159"/>
      <c r="X27" s="159"/>
      <c r="Y27" s="159"/>
    </row>
    <row r="28" ht="15.75" customHeight="1">
      <c r="A28" s="182"/>
      <c r="B28" s="183" t="s">
        <v>221</v>
      </c>
      <c r="C28" s="154"/>
      <c r="D28" s="152"/>
      <c r="E28" s="207"/>
      <c r="F28" s="185"/>
      <c r="G28" s="238"/>
      <c r="H28" s="238"/>
      <c r="I28" s="185"/>
      <c r="J28" s="185"/>
      <c r="K28" s="185"/>
      <c r="L28" s="238"/>
      <c r="M28" s="238"/>
      <c r="N28" s="238"/>
      <c r="O28" s="185"/>
      <c r="P28" s="212"/>
      <c r="Q28" s="212"/>
      <c r="R28" s="188"/>
      <c r="S28" s="185"/>
      <c r="T28" s="260"/>
      <c r="U28" s="159"/>
      <c r="V28" s="159"/>
      <c r="W28" s="159"/>
      <c r="X28" s="159"/>
      <c r="Y28" s="159"/>
    </row>
    <row r="29" ht="15.75" customHeight="1">
      <c r="A29" s="182"/>
      <c r="B29" s="183" t="s">
        <v>186</v>
      </c>
      <c r="C29" s="154"/>
      <c r="D29" s="152"/>
      <c r="E29" s="207"/>
      <c r="F29" s="185"/>
      <c r="G29" s="185" t="s">
        <v>167</v>
      </c>
      <c r="H29" s="211" t="s">
        <v>167</v>
      </c>
      <c r="I29" s="211" t="s">
        <v>167</v>
      </c>
      <c r="J29" s="211"/>
      <c r="K29" s="211"/>
      <c r="L29" s="278"/>
      <c r="M29" s="276"/>
      <c r="N29" s="276"/>
      <c r="O29" s="211"/>
      <c r="P29" s="212"/>
      <c r="Q29" s="212"/>
      <c r="R29" s="188"/>
      <c r="S29" s="185"/>
      <c r="T29" s="260"/>
      <c r="U29" s="159"/>
      <c r="V29" s="159"/>
      <c r="W29" s="159"/>
      <c r="X29" s="159"/>
      <c r="Y29" s="159"/>
    </row>
    <row r="30" ht="15.75" customHeight="1">
      <c r="A30" s="182"/>
      <c r="B30" s="206" t="s">
        <v>187</v>
      </c>
      <c r="C30" s="154"/>
      <c r="D30" s="152"/>
      <c r="E30" s="184"/>
      <c r="F30" s="209"/>
      <c r="G30" s="242"/>
      <c r="H30" s="185"/>
      <c r="I30" s="209"/>
      <c r="J30" s="209"/>
      <c r="K30" s="209"/>
      <c r="L30" s="242"/>
      <c r="M30" s="209"/>
      <c r="N30" s="209"/>
      <c r="O30" s="209"/>
      <c r="P30" s="209"/>
      <c r="Q30" s="209"/>
      <c r="R30" s="209"/>
      <c r="S30" s="242"/>
      <c r="T30" s="264"/>
      <c r="U30" s="159"/>
      <c r="V30" s="159"/>
      <c r="W30" s="159"/>
      <c r="X30" s="159"/>
      <c r="Y30" s="159"/>
    </row>
    <row r="31" ht="15.75" customHeight="1">
      <c r="A31" s="182"/>
      <c r="B31" s="190" t="s">
        <v>271</v>
      </c>
      <c r="C31" s="154"/>
      <c r="D31" s="152"/>
      <c r="E31" s="184"/>
      <c r="F31" s="185"/>
      <c r="G31" s="205" t="s">
        <v>167</v>
      </c>
      <c r="H31" s="238"/>
      <c r="I31" s="185"/>
      <c r="J31" s="185"/>
      <c r="K31" s="188"/>
      <c r="L31" s="238"/>
      <c r="M31" s="185"/>
      <c r="N31" s="185"/>
      <c r="O31" s="185"/>
      <c r="P31" s="188"/>
      <c r="Q31" s="188"/>
      <c r="R31" s="188"/>
      <c r="S31" s="238"/>
      <c r="T31" s="208"/>
      <c r="U31" s="159"/>
      <c r="V31" s="159"/>
      <c r="W31" s="159"/>
      <c r="X31" s="159"/>
      <c r="Y31" s="159"/>
    </row>
    <row r="32" ht="15.75" customHeight="1">
      <c r="A32" s="182"/>
      <c r="B32" s="190" t="s">
        <v>282</v>
      </c>
      <c r="C32" s="154"/>
      <c r="D32" s="152"/>
      <c r="E32" s="249"/>
      <c r="F32" s="212"/>
      <c r="G32" s="212"/>
      <c r="H32" s="211" t="s">
        <v>167</v>
      </c>
      <c r="I32" s="211" t="s">
        <v>167</v>
      </c>
      <c r="J32" s="212"/>
      <c r="K32" s="210"/>
      <c r="L32" s="243"/>
      <c r="M32" s="212"/>
      <c r="N32" s="212"/>
      <c r="O32" s="212"/>
      <c r="P32" s="210"/>
      <c r="Q32" s="210"/>
      <c r="R32" s="210"/>
      <c r="S32" s="243"/>
      <c r="T32" s="261"/>
      <c r="U32" s="159"/>
      <c r="V32" s="159"/>
      <c r="W32" s="159"/>
      <c r="X32" s="159"/>
      <c r="Y32" s="159"/>
    </row>
    <row r="33" ht="15.75" customHeight="1">
      <c r="A33" s="182"/>
      <c r="B33" s="190" t="s">
        <v>283</v>
      </c>
      <c r="C33" s="154"/>
      <c r="D33" s="152"/>
      <c r="E33" s="249"/>
      <c r="F33" s="212"/>
      <c r="G33" s="212"/>
      <c r="H33" s="211"/>
      <c r="I33" s="211"/>
      <c r="J33" s="211" t="s">
        <v>167</v>
      </c>
      <c r="K33" s="210"/>
      <c r="L33" s="243"/>
      <c r="M33" s="212"/>
      <c r="N33" s="212"/>
      <c r="O33" s="212"/>
      <c r="P33" s="210"/>
      <c r="Q33" s="210"/>
      <c r="R33" s="210"/>
      <c r="S33" s="243"/>
      <c r="T33" s="261"/>
      <c r="U33" s="159"/>
      <c r="V33" s="159"/>
      <c r="W33" s="159"/>
      <c r="X33" s="159"/>
      <c r="Y33" s="159"/>
    </row>
    <row r="34" ht="15.75" customHeight="1">
      <c r="A34" s="182"/>
      <c r="B34" s="190" t="s">
        <v>284</v>
      </c>
      <c r="C34" s="154"/>
      <c r="D34" s="152"/>
      <c r="E34" s="249"/>
      <c r="F34" s="212"/>
      <c r="G34" s="212"/>
      <c r="H34" s="211"/>
      <c r="I34" s="211"/>
      <c r="J34" s="211"/>
      <c r="K34" s="211" t="s">
        <v>167</v>
      </c>
      <c r="L34" s="243"/>
      <c r="M34" s="212"/>
      <c r="N34" s="212"/>
      <c r="O34" s="212"/>
      <c r="P34" s="210"/>
      <c r="Q34" s="210"/>
      <c r="R34" s="210"/>
      <c r="S34" s="243"/>
      <c r="T34" s="261"/>
      <c r="U34" s="159"/>
      <c r="V34" s="159"/>
      <c r="W34" s="159"/>
      <c r="X34" s="159"/>
      <c r="Y34" s="159"/>
    </row>
    <row r="35" ht="15.75" customHeight="1">
      <c r="A35" s="182"/>
      <c r="B35" s="213" t="s">
        <v>285</v>
      </c>
      <c r="C35" s="214"/>
      <c r="D35" s="215"/>
      <c r="E35" s="216"/>
      <c r="F35" s="217"/>
      <c r="G35" s="199"/>
      <c r="H35" s="198"/>
      <c r="I35" s="198"/>
      <c r="J35" s="198"/>
      <c r="K35" s="217"/>
      <c r="L35" s="198" t="s">
        <v>167</v>
      </c>
      <c r="M35" s="217"/>
      <c r="N35" s="217"/>
      <c r="O35" s="217"/>
      <c r="P35" s="218"/>
      <c r="Q35" s="218"/>
      <c r="R35" s="218"/>
      <c r="S35" s="244"/>
      <c r="T35" s="265"/>
      <c r="U35" s="159"/>
      <c r="V35" s="159"/>
      <c r="W35" s="159"/>
      <c r="X35" s="159"/>
      <c r="Y35" s="159"/>
    </row>
    <row r="36" ht="15.75" customHeight="1">
      <c r="A36" s="220" t="s">
        <v>196</v>
      </c>
      <c r="B36" s="221" t="s">
        <v>197</v>
      </c>
      <c r="C36" s="176"/>
      <c r="D36" s="177"/>
      <c r="E36" s="178"/>
      <c r="F36" s="222" t="s">
        <v>137</v>
      </c>
      <c r="G36" s="222" t="s">
        <v>61</v>
      </c>
      <c r="H36" s="222" t="s">
        <v>61</v>
      </c>
      <c r="I36" s="222" t="s">
        <v>61</v>
      </c>
      <c r="J36" s="223" t="s">
        <v>138</v>
      </c>
      <c r="K36" s="222" t="s">
        <v>61</v>
      </c>
      <c r="L36" s="222" t="s">
        <v>138</v>
      </c>
      <c r="M36" s="223"/>
      <c r="N36" s="223"/>
      <c r="O36" s="222"/>
      <c r="P36" s="222"/>
      <c r="Q36" s="222"/>
      <c r="R36" s="222"/>
      <c r="S36" s="222"/>
      <c r="T36" s="267"/>
      <c r="U36" s="159"/>
      <c r="V36" s="159"/>
      <c r="W36" s="159"/>
      <c r="X36" s="159"/>
      <c r="Y36" s="159"/>
    </row>
    <row r="37" ht="15.75" customHeight="1">
      <c r="A37" s="182"/>
      <c r="B37" s="221" t="s">
        <v>198</v>
      </c>
      <c r="C37" s="176"/>
      <c r="D37" s="177"/>
      <c r="E37" s="184"/>
      <c r="F37" s="225" t="s">
        <v>199</v>
      </c>
      <c r="G37" s="268" t="s">
        <v>199</v>
      </c>
      <c r="H37" s="268" t="s">
        <v>199</v>
      </c>
      <c r="I37" s="268" t="s">
        <v>199</v>
      </c>
      <c r="J37" s="268" t="s">
        <v>199</v>
      </c>
      <c r="K37" s="268" t="s">
        <v>199</v>
      </c>
      <c r="L37" s="268" t="s">
        <v>199</v>
      </c>
      <c r="M37" s="268"/>
      <c r="N37" s="268"/>
      <c r="O37" s="225"/>
      <c r="P37" s="225"/>
      <c r="Q37" s="225"/>
      <c r="R37" s="225"/>
      <c r="S37" s="225"/>
      <c r="T37" s="226"/>
      <c r="U37" s="159"/>
      <c r="V37" s="159"/>
      <c r="W37" s="159"/>
      <c r="X37" s="159"/>
      <c r="Y37" s="159"/>
    </row>
    <row r="38" ht="15.75" customHeight="1">
      <c r="A38" s="182"/>
      <c r="B38" s="221" t="s">
        <v>200</v>
      </c>
      <c r="C38" s="176"/>
      <c r="D38" s="177"/>
      <c r="E38" s="184"/>
      <c r="F38" s="227">
        <v>45969.0</v>
      </c>
      <c r="G38" s="227">
        <v>45969.0</v>
      </c>
      <c r="H38" s="227">
        <v>45969.0</v>
      </c>
      <c r="I38" s="227">
        <v>45969.0</v>
      </c>
      <c r="J38" s="227">
        <v>45969.0</v>
      </c>
      <c r="K38" s="227">
        <v>45969.0</v>
      </c>
      <c r="L38" s="227">
        <v>45969.0</v>
      </c>
      <c r="M38" s="227"/>
      <c r="N38" s="227"/>
      <c r="O38" s="228"/>
      <c r="P38" s="228"/>
      <c r="Q38" s="228"/>
      <c r="R38" s="228"/>
      <c r="S38" s="246"/>
      <c r="T38" s="274"/>
      <c r="U38" s="159"/>
      <c r="V38" s="159"/>
      <c r="W38" s="159"/>
      <c r="X38" s="159"/>
      <c r="Y38" s="159"/>
    </row>
    <row r="39" ht="15.75" customHeight="1">
      <c r="A39" s="182"/>
      <c r="B39" s="230" t="s">
        <v>201</v>
      </c>
      <c r="C39" s="231"/>
      <c r="D39" s="232"/>
      <c r="E39" s="233"/>
      <c r="F39" s="217"/>
      <c r="G39" s="217"/>
      <c r="H39" s="217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70"/>
      <c r="T39" s="275"/>
      <c r="U39" s="159"/>
      <c r="V39" s="159"/>
      <c r="W39" s="159"/>
      <c r="X39" s="159"/>
      <c r="Y39" s="159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59"/>
      <c r="V40" s="159"/>
      <c r="W40" s="159"/>
      <c r="X40" s="159"/>
      <c r="Y40" s="159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59"/>
      <c r="V41" s="159"/>
      <c r="W41" s="159"/>
      <c r="X41" s="159"/>
      <c r="Y41" s="159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59"/>
      <c r="V42" s="159"/>
      <c r="W42" s="159"/>
      <c r="X42" s="159"/>
      <c r="Y42" s="159"/>
    </row>
    <row r="43" ht="15.75" customHeight="1">
      <c r="A43" s="161"/>
      <c r="B43" s="161"/>
      <c r="C43" s="161"/>
      <c r="D43" s="161"/>
      <c r="E43" s="169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159"/>
      <c r="V43" s="159"/>
      <c r="W43" s="159"/>
      <c r="X43" s="159"/>
      <c r="Y43" s="159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59"/>
      <c r="V44" s="159"/>
      <c r="W44" s="159"/>
      <c r="X44" s="159"/>
      <c r="Y44" s="159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59"/>
      <c r="V45" s="159"/>
      <c r="W45" s="159"/>
      <c r="X45" s="159"/>
      <c r="Y45" s="159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>
      <c r="A229" s="161"/>
      <c r="B229" s="161"/>
      <c r="C229" s="161"/>
      <c r="D229" s="161"/>
      <c r="E229" s="169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</row>
    <row r="230" ht="15.75" customHeight="1">
      <c r="A230" s="161"/>
      <c r="B230" s="161"/>
      <c r="C230" s="161"/>
      <c r="D230" s="161"/>
      <c r="E230" s="169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</row>
    <row r="231" ht="15.75" customHeight="1">
      <c r="A231" s="161"/>
      <c r="B231" s="161"/>
      <c r="C231" s="161"/>
      <c r="D231" s="161"/>
      <c r="E231" s="169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</row>
    <row r="232" ht="15.75" customHeight="1">
      <c r="A232" s="161"/>
      <c r="B232" s="161"/>
      <c r="C232" s="161"/>
      <c r="D232" s="161"/>
      <c r="E232" s="169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</row>
    <row r="233" ht="15.75" customHeight="1">
      <c r="A233" s="161"/>
      <c r="B233" s="161"/>
      <c r="C233" s="161"/>
      <c r="D233" s="161"/>
      <c r="E233" s="169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</row>
    <row r="234" ht="15.75" customHeight="1">
      <c r="A234" s="161"/>
      <c r="B234" s="161"/>
      <c r="C234" s="161"/>
      <c r="D234" s="161"/>
      <c r="E234" s="169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</row>
    <row r="235" ht="15.75" customHeight="1">
      <c r="A235" s="161"/>
      <c r="B235" s="161"/>
      <c r="C235" s="161"/>
      <c r="D235" s="161"/>
      <c r="E235" s="169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</row>
    <row r="236" ht="15.75" customHeight="1">
      <c r="A236" s="161"/>
      <c r="B236" s="161"/>
      <c r="C236" s="161"/>
      <c r="D236" s="161"/>
      <c r="E236" s="169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</row>
    <row r="237" ht="15.75" customHeight="1">
      <c r="A237" s="161"/>
      <c r="B237" s="161"/>
      <c r="C237" s="161"/>
      <c r="D237" s="161"/>
      <c r="E237" s="169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</row>
    <row r="238" ht="15.75" customHeight="1">
      <c r="A238" s="161"/>
      <c r="B238" s="161"/>
      <c r="C238" s="161"/>
      <c r="D238" s="161"/>
      <c r="E238" s="169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</row>
    <row r="239" ht="15.75" customHeight="1">
      <c r="A239" s="161"/>
      <c r="B239" s="161"/>
      <c r="C239" s="161"/>
      <c r="D239" s="161"/>
      <c r="E239" s="169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51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2:D32"/>
    <mergeCell ref="B33:D33"/>
    <mergeCell ref="B34:D34"/>
    <mergeCell ref="B35:D35"/>
    <mergeCell ref="B36:D36"/>
    <mergeCell ref="B37:D37"/>
    <mergeCell ref="B38:D38"/>
    <mergeCell ref="B39:D39"/>
    <mergeCell ref="B25:D25"/>
    <mergeCell ref="B26:D26"/>
    <mergeCell ref="B27:D27"/>
    <mergeCell ref="B28:D28"/>
    <mergeCell ref="B29:D29"/>
    <mergeCell ref="B30:D30"/>
    <mergeCell ref="B31:D31"/>
  </mergeCells>
  <dataValidations>
    <dataValidation type="list" allowBlank="1" showInputMessage="1" showErrorMessage="1" prompt="Click and enter a value from the list of items" sqref="F37:T37">
      <formula1>"P,F"</formula1>
    </dataValidation>
    <dataValidation type="list" allowBlank="1" showInputMessage="1" showErrorMessage="1" prompt=" - " sqref="F8:T35">
      <formula1>"O"</formula1>
    </dataValidation>
    <dataValidation type="list" allowBlank="1" showInputMessage="1" showErrorMessage="1" prompt="Click and enter a value from the list of items" sqref="F36:T36">
      <formula1>"A,B,N"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8" t="s">
        <v>74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COUNTIF(F23:HU23,"P")</f>
        <v>2</v>
      </c>
      <c r="B5" s="165"/>
      <c r="C5" s="164">
        <f>COUNTIF(H23:HW23,"F")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COUNTIF(E22:HU22,"N")</f>
        <v>1</v>
      </c>
      <c r="M5" s="168">
        <f>COUNTIF(F22:HV22,"A")</f>
        <v>1</v>
      </c>
      <c r="N5" s="168">
        <f>COUNTIF(G22:HW22,"B")</f>
        <v>0</v>
      </c>
      <c r="O5" s="167">
        <f>COUNTA(F7:HX7)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206" t="s">
        <v>247</v>
      </c>
      <c r="C11" s="154"/>
      <c r="D11" s="152"/>
      <c r="E11" s="184"/>
      <c r="F11" s="188"/>
      <c r="G11" s="23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8"/>
      <c r="I12" s="188"/>
      <c r="J12" s="188"/>
      <c r="K12" s="185"/>
      <c r="L12" s="185"/>
      <c r="M12" s="185"/>
      <c r="N12" s="185"/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92"/>
      <c r="B13" s="193" t="s">
        <v>249</v>
      </c>
      <c r="C13" s="194"/>
      <c r="D13" s="195"/>
      <c r="E13" s="196"/>
      <c r="F13" s="197"/>
      <c r="G13" s="198" t="s">
        <v>167</v>
      </c>
      <c r="H13" s="197"/>
      <c r="I13" s="198"/>
      <c r="J13" s="198"/>
      <c r="K13" s="198"/>
      <c r="L13" s="197"/>
      <c r="M13" s="197"/>
      <c r="N13" s="197"/>
      <c r="O13" s="197"/>
      <c r="P13" s="197"/>
      <c r="Q13" s="198"/>
      <c r="R13" s="197"/>
      <c r="S13" s="239"/>
      <c r="T13" s="262"/>
      <c r="U13" s="159"/>
      <c r="V13" s="159"/>
      <c r="W13" s="159"/>
      <c r="X13" s="159"/>
      <c r="Y13" s="159"/>
    </row>
    <row r="14">
      <c r="A14" s="174" t="s">
        <v>183</v>
      </c>
      <c r="B14" s="201" t="s">
        <v>184</v>
      </c>
      <c r="D14" s="202"/>
      <c r="E14" s="203"/>
      <c r="F14" s="179"/>
      <c r="G14" s="240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240"/>
      <c r="T14" s="263"/>
      <c r="U14" s="159"/>
      <c r="V14" s="159"/>
      <c r="W14" s="159"/>
      <c r="X14" s="159"/>
      <c r="Y14" s="159"/>
    </row>
    <row r="15">
      <c r="A15" s="182"/>
      <c r="B15" s="204" t="b">
        <v>1</v>
      </c>
      <c r="C15" s="154"/>
      <c r="D15" s="152"/>
      <c r="E15" s="184"/>
      <c r="F15" s="185" t="s">
        <v>167</v>
      </c>
      <c r="G15" s="23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238"/>
      <c r="T15" s="208"/>
      <c r="U15" s="159"/>
      <c r="V15" s="159"/>
      <c r="W15" s="159"/>
      <c r="X15" s="159"/>
      <c r="Y15" s="159"/>
    </row>
    <row r="16">
      <c r="A16" s="182"/>
      <c r="B16" s="204" t="b">
        <v>0</v>
      </c>
      <c r="C16" s="154"/>
      <c r="D16" s="152"/>
      <c r="E16" s="184"/>
      <c r="F16" s="188"/>
      <c r="G16" s="185" t="s">
        <v>167</v>
      </c>
      <c r="H16" s="188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260"/>
      <c r="U16" s="159"/>
      <c r="V16" s="159"/>
      <c r="W16" s="159"/>
      <c r="X16" s="159"/>
      <c r="Y16" s="159"/>
    </row>
    <row r="17">
      <c r="A17" s="182"/>
      <c r="B17" s="206" t="s">
        <v>185</v>
      </c>
      <c r="C17" s="154"/>
      <c r="D17" s="152"/>
      <c r="E17" s="207"/>
      <c r="F17" s="188"/>
      <c r="G17" s="23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238"/>
      <c r="T17" s="208"/>
      <c r="U17" s="159"/>
      <c r="V17" s="159"/>
      <c r="W17" s="159"/>
      <c r="X17" s="159"/>
      <c r="Y17" s="159"/>
    </row>
    <row r="18" ht="15.75" customHeight="1">
      <c r="A18" s="182"/>
      <c r="B18" s="183" t="s">
        <v>186</v>
      </c>
      <c r="C18" s="154"/>
      <c r="D18" s="152"/>
      <c r="E18" s="207"/>
      <c r="F18" s="185"/>
      <c r="G18" s="238"/>
      <c r="H18" s="185"/>
      <c r="I18" s="185"/>
      <c r="J18" s="185"/>
      <c r="K18" s="185"/>
      <c r="L18" s="185"/>
      <c r="M18" s="185"/>
      <c r="N18" s="185"/>
      <c r="O18" s="185"/>
      <c r="P18" s="212"/>
      <c r="Q18" s="212"/>
      <c r="R18" s="188"/>
      <c r="S18" s="185"/>
      <c r="T18" s="260"/>
      <c r="U18" s="159"/>
      <c r="V18" s="159"/>
      <c r="W18" s="159"/>
      <c r="X18" s="159"/>
      <c r="Y18" s="159"/>
    </row>
    <row r="19" ht="15.75" customHeight="1">
      <c r="A19" s="182"/>
      <c r="B19" s="206" t="s">
        <v>187</v>
      </c>
      <c r="C19" s="154"/>
      <c r="D19" s="152"/>
      <c r="E19" s="184"/>
      <c r="F19" s="209"/>
      <c r="G19" s="242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42"/>
      <c r="T19" s="264"/>
      <c r="U19" s="159"/>
      <c r="V19" s="159"/>
      <c r="W19" s="159"/>
      <c r="X19" s="159"/>
      <c r="Y19" s="159"/>
    </row>
    <row r="20" ht="15.75" customHeight="1">
      <c r="A20" s="182"/>
      <c r="B20" s="183" t="s">
        <v>270</v>
      </c>
      <c r="C20" s="154"/>
      <c r="D20" s="152"/>
      <c r="E20" s="184"/>
      <c r="F20" s="185"/>
      <c r="G20" s="238"/>
      <c r="H20" s="185"/>
      <c r="I20" s="185"/>
      <c r="J20" s="185"/>
      <c r="K20" s="188"/>
      <c r="L20" s="188"/>
      <c r="M20" s="188"/>
      <c r="N20" s="185"/>
      <c r="O20" s="185"/>
      <c r="P20" s="188"/>
      <c r="Q20" s="188"/>
      <c r="R20" s="188"/>
      <c r="S20" s="238"/>
      <c r="T20" s="208"/>
      <c r="U20" s="159"/>
      <c r="V20" s="159"/>
      <c r="W20" s="159"/>
      <c r="X20" s="159"/>
      <c r="Y20" s="159"/>
    </row>
    <row r="21" ht="15.75" customHeight="1">
      <c r="A21" s="182"/>
      <c r="B21" s="256" t="s">
        <v>271</v>
      </c>
      <c r="C21" s="214"/>
      <c r="D21" s="215"/>
      <c r="E21" s="216"/>
      <c r="F21" s="217"/>
      <c r="G21" s="198" t="s">
        <v>167</v>
      </c>
      <c r="H21" s="217"/>
      <c r="I21" s="198"/>
      <c r="J21" s="198"/>
      <c r="K21" s="198"/>
      <c r="L21" s="217"/>
      <c r="M21" s="217"/>
      <c r="N21" s="217"/>
      <c r="O21" s="217"/>
      <c r="P21" s="218"/>
      <c r="Q21" s="218"/>
      <c r="R21" s="218"/>
      <c r="S21" s="244"/>
      <c r="T21" s="265"/>
      <c r="U21" s="159"/>
      <c r="V21" s="159"/>
      <c r="W21" s="159"/>
      <c r="X21" s="159"/>
      <c r="Y21" s="159"/>
    </row>
    <row r="22" ht="15.75" customHeight="1">
      <c r="A22" s="220" t="s">
        <v>196</v>
      </c>
      <c r="B22" s="221" t="s">
        <v>197</v>
      </c>
      <c r="C22" s="176"/>
      <c r="D22" s="177"/>
      <c r="E22" s="178"/>
      <c r="F22" s="222" t="s">
        <v>137</v>
      </c>
      <c r="G22" s="222" t="s">
        <v>61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67"/>
      <c r="U22" s="159"/>
      <c r="V22" s="159"/>
      <c r="W22" s="159"/>
      <c r="X22" s="159"/>
      <c r="Y22" s="159"/>
    </row>
    <row r="23" ht="15.75" customHeight="1">
      <c r="A23" s="182"/>
      <c r="B23" s="221" t="s">
        <v>198</v>
      </c>
      <c r="C23" s="176"/>
      <c r="D23" s="177"/>
      <c r="E23" s="184"/>
      <c r="F23" s="225" t="s">
        <v>199</v>
      </c>
      <c r="G23" s="268" t="s">
        <v>199</v>
      </c>
      <c r="H23" s="257"/>
      <c r="I23" s="257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6"/>
      <c r="U23" s="159"/>
      <c r="V23" s="159"/>
      <c r="W23" s="159"/>
      <c r="X23" s="159"/>
      <c r="Y23" s="159"/>
    </row>
    <row r="24" ht="15.75" customHeight="1">
      <c r="A24" s="182"/>
      <c r="B24" s="221" t="s">
        <v>200</v>
      </c>
      <c r="C24" s="176"/>
      <c r="D24" s="177"/>
      <c r="E24" s="184"/>
      <c r="F24" s="227">
        <v>45969.0</v>
      </c>
      <c r="G24" s="227">
        <v>45969.0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46"/>
      <c r="T24" s="274"/>
      <c r="U24" s="159"/>
      <c r="V24" s="159"/>
      <c r="W24" s="159"/>
      <c r="X24" s="159"/>
      <c r="Y24" s="159"/>
    </row>
    <row r="25" ht="15.75" customHeight="1">
      <c r="A25" s="182"/>
      <c r="B25" s="230" t="s">
        <v>201</v>
      </c>
      <c r="C25" s="231"/>
      <c r="D25" s="232"/>
      <c r="E25" s="233"/>
      <c r="F25" s="217"/>
      <c r="G25" s="217"/>
      <c r="H25" s="217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70"/>
      <c r="T25" s="275"/>
      <c r="U25" s="159"/>
      <c r="V25" s="159"/>
      <c r="W25" s="159"/>
      <c r="X25" s="159"/>
      <c r="Y25" s="159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59"/>
      <c r="V26" s="159"/>
      <c r="W26" s="159"/>
      <c r="X26" s="159"/>
      <c r="Y26" s="159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59"/>
      <c r="V27" s="159"/>
      <c r="W27" s="159"/>
      <c r="X27" s="159"/>
      <c r="Y27" s="159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59"/>
      <c r="V28" s="159"/>
      <c r="W28" s="159"/>
      <c r="X28" s="159"/>
      <c r="Y28" s="159"/>
    </row>
    <row r="29" ht="15.75" customHeight="1">
      <c r="A29" s="161"/>
      <c r="B29" s="161"/>
      <c r="C29" s="161"/>
      <c r="D29" s="161"/>
      <c r="E29" s="169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159"/>
      <c r="V29" s="159"/>
      <c r="W29" s="159"/>
      <c r="X29" s="159"/>
      <c r="Y29" s="159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59"/>
      <c r="V30" s="159"/>
      <c r="W30" s="159"/>
      <c r="X30" s="159"/>
      <c r="Y30" s="159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59"/>
      <c r="V31" s="159"/>
      <c r="W31" s="159"/>
      <c r="X31" s="159"/>
      <c r="Y31" s="159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25:D25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3:G23 J23:T23">
      <formula1>"P,F"</formula1>
    </dataValidation>
    <dataValidation type="list" allowBlank="1" showInputMessage="1" showErrorMessage="1" prompt=" - " sqref="F8:T21">
      <formula1>"O"</formula1>
    </dataValidation>
    <dataValidation type="list" allowBlank="1" showInputMessage="1" showErrorMessage="1" prompt="Nhấp và nhập một giá trị từ danh sách các mục" sqref="H23:I23">
      <formula1>"P,F,N/A"</formula1>
    </dataValidation>
    <dataValidation type="list" allowBlank="1" showInputMessage="1" showErrorMessage="1" prompt="Click and enter a value from the list of items" sqref="F22:T22">
      <formula1>"A,B,N"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109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COUNTIF(F23:HU23,"P")</f>
        <v>2</v>
      </c>
      <c r="B5" s="165"/>
      <c r="C5" s="164">
        <f>COUNTIF(H23:HW23,"F")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COUNTIF(E22:HU22,"N")</f>
        <v>1</v>
      </c>
      <c r="M5" s="168">
        <f>COUNTIF(F22:HV22,"A")</f>
        <v>1</v>
      </c>
      <c r="N5" s="168">
        <f>COUNTIF(G22:HW22,"B")</f>
        <v>0</v>
      </c>
      <c r="O5" s="167">
        <f>COUNTA(F7:HX7)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206" t="s">
        <v>247</v>
      </c>
      <c r="C11" s="154"/>
      <c r="D11" s="152"/>
      <c r="E11" s="184"/>
      <c r="F11" s="188"/>
      <c r="G11" s="23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8"/>
      <c r="I12" s="188"/>
      <c r="J12" s="188"/>
      <c r="K12" s="185"/>
      <c r="L12" s="185"/>
      <c r="M12" s="185"/>
      <c r="N12" s="185"/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92"/>
      <c r="B13" s="193" t="s">
        <v>249</v>
      </c>
      <c r="C13" s="194"/>
      <c r="D13" s="195"/>
      <c r="E13" s="196"/>
      <c r="F13" s="197"/>
      <c r="G13" s="198" t="s">
        <v>167</v>
      </c>
      <c r="H13" s="197"/>
      <c r="I13" s="198"/>
      <c r="J13" s="198"/>
      <c r="K13" s="198"/>
      <c r="L13" s="197"/>
      <c r="M13" s="197"/>
      <c r="N13" s="197"/>
      <c r="O13" s="197"/>
      <c r="P13" s="197"/>
      <c r="Q13" s="198"/>
      <c r="R13" s="197"/>
      <c r="S13" s="239"/>
      <c r="T13" s="262"/>
      <c r="U13" s="159"/>
      <c r="V13" s="159"/>
      <c r="W13" s="159"/>
      <c r="X13" s="159"/>
      <c r="Y13" s="159"/>
    </row>
    <row r="14">
      <c r="A14" s="174" t="s">
        <v>183</v>
      </c>
      <c r="B14" s="201" t="s">
        <v>184</v>
      </c>
      <c r="D14" s="202"/>
      <c r="E14" s="203"/>
      <c r="F14" s="179"/>
      <c r="G14" s="240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240"/>
      <c r="T14" s="263"/>
      <c r="U14" s="159"/>
      <c r="V14" s="159"/>
      <c r="W14" s="159"/>
      <c r="X14" s="159"/>
      <c r="Y14" s="159"/>
    </row>
    <row r="15">
      <c r="A15" s="182"/>
      <c r="B15" s="204" t="b">
        <v>1</v>
      </c>
      <c r="C15" s="154"/>
      <c r="D15" s="152"/>
      <c r="E15" s="184"/>
      <c r="F15" s="185" t="s">
        <v>167</v>
      </c>
      <c r="G15" s="23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238"/>
      <c r="T15" s="208"/>
      <c r="U15" s="159"/>
      <c r="V15" s="159"/>
      <c r="W15" s="159"/>
      <c r="X15" s="159"/>
      <c r="Y15" s="159"/>
    </row>
    <row r="16">
      <c r="A16" s="182"/>
      <c r="B16" s="204" t="b">
        <v>0</v>
      </c>
      <c r="C16" s="154"/>
      <c r="D16" s="152"/>
      <c r="E16" s="184"/>
      <c r="F16" s="188"/>
      <c r="G16" s="185" t="s">
        <v>167</v>
      </c>
      <c r="H16" s="188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260"/>
      <c r="U16" s="159"/>
      <c r="V16" s="159"/>
      <c r="W16" s="159"/>
      <c r="X16" s="159"/>
      <c r="Y16" s="159"/>
    </row>
    <row r="17">
      <c r="A17" s="182"/>
      <c r="B17" s="206" t="s">
        <v>185</v>
      </c>
      <c r="C17" s="154"/>
      <c r="D17" s="152"/>
      <c r="E17" s="207"/>
      <c r="F17" s="188"/>
      <c r="G17" s="23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238"/>
      <c r="T17" s="208"/>
      <c r="U17" s="159"/>
      <c r="V17" s="159"/>
      <c r="W17" s="159"/>
      <c r="X17" s="159"/>
      <c r="Y17" s="159"/>
    </row>
    <row r="18" ht="15.75" customHeight="1">
      <c r="A18" s="182"/>
      <c r="B18" s="183" t="s">
        <v>186</v>
      </c>
      <c r="C18" s="154"/>
      <c r="D18" s="152"/>
      <c r="E18" s="207"/>
      <c r="F18" s="185"/>
      <c r="G18" s="238"/>
      <c r="H18" s="185"/>
      <c r="I18" s="185"/>
      <c r="J18" s="185"/>
      <c r="K18" s="185"/>
      <c r="L18" s="185"/>
      <c r="M18" s="185"/>
      <c r="N18" s="185"/>
      <c r="O18" s="185"/>
      <c r="P18" s="212"/>
      <c r="Q18" s="212"/>
      <c r="R18" s="188"/>
      <c r="S18" s="185"/>
      <c r="T18" s="260"/>
      <c r="U18" s="159"/>
      <c r="V18" s="159"/>
      <c r="W18" s="159"/>
      <c r="X18" s="159"/>
      <c r="Y18" s="159"/>
    </row>
    <row r="19" ht="15.75" customHeight="1">
      <c r="A19" s="182"/>
      <c r="B19" s="206" t="s">
        <v>187</v>
      </c>
      <c r="C19" s="154"/>
      <c r="D19" s="152"/>
      <c r="E19" s="184"/>
      <c r="F19" s="209"/>
      <c r="G19" s="242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42"/>
      <c r="T19" s="264"/>
      <c r="U19" s="159"/>
      <c r="V19" s="159"/>
      <c r="W19" s="159"/>
      <c r="X19" s="159"/>
      <c r="Y19" s="159"/>
    </row>
    <row r="20" ht="15.75" customHeight="1">
      <c r="A20" s="182"/>
      <c r="B20" s="183" t="s">
        <v>270</v>
      </c>
      <c r="C20" s="154"/>
      <c r="D20" s="152"/>
      <c r="E20" s="184"/>
      <c r="F20" s="185"/>
      <c r="G20" s="238"/>
      <c r="H20" s="185"/>
      <c r="I20" s="185"/>
      <c r="J20" s="185"/>
      <c r="K20" s="188"/>
      <c r="L20" s="188"/>
      <c r="M20" s="188"/>
      <c r="N20" s="185"/>
      <c r="O20" s="185"/>
      <c r="P20" s="188"/>
      <c r="Q20" s="188"/>
      <c r="R20" s="188"/>
      <c r="S20" s="238"/>
      <c r="T20" s="208"/>
      <c r="U20" s="159"/>
      <c r="V20" s="159"/>
      <c r="W20" s="159"/>
      <c r="X20" s="159"/>
      <c r="Y20" s="159"/>
    </row>
    <row r="21" ht="15.75" customHeight="1">
      <c r="A21" s="182"/>
      <c r="B21" s="256" t="s">
        <v>271</v>
      </c>
      <c r="C21" s="214"/>
      <c r="D21" s="215"/>
      <c r="E21" s="216"/>
      <c r="F21" s="217"/>
      <c r="G21" s="198" t="s">
        <v>167</v>
      </c>
      <c r="H21" s="217"/>
      <c r="I21" s="198"/>
      <c r="J21" s="198"/>
      <c r="K21" s="198"/>
      <c r="L21" s="217"/>
      <c r="M21" s="217"/>
      <c r="N21" s="217"/>
      <c r="O21" s="217"/>
      <c r="P21" s="218"/>
      <c r="Q21" s="218"/>
      <c r="R21" s="218"/>
      <c r="S21" s="244"/>
      <c r="T21" s="265"/>
      <c r="U21" s="159"/>
      <c r="V21" s="159"/>
      <c r="W21" s="159"/>
      <c r="X21" s="159"/>
      <c r="Y21" s="159"/>
    </row>
    <row r="22" ht="15.75" customHeight="1">
      <c r="A22" s="220" t="s">
        <v>196</v>
      </c>
      <c r="B22" s="221" t="s">
        <v>197</v>
      </c>
      <c r="C22" s="176"/>
      <c r="D22" s="177"/>
      <c r="E22" s="178"/>
      <c r="F22" s="222" t="s">
        <v>137</v>
      </c>
      <c r="G22" s="222" t="s">
        <v>61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67"/>
      <c r="U22" s="159"/>
      <c r="V22" s="159"/>
      <c r="W22" s="159"/>
      <c r="X22" s="159"/>
      <c r="Y22" s="159"/>
    </row>
    <row r="23" ht="15.75" customHeight="1">
      <c r="A23" s="182"/>
      <c r="B23" s="221" t="s">
        <v>198</v>
      </c>
      <c r="C23" s="176"/>
      <c r="D23" s="177"/>
      <c r="E23" s="184"/>
      <c r="F23" s="225" t="s">
        <v>199</v>
      </c>
      <c r="G23" s="268" t="s">
        <v>199</v>
      </c>
      <c r="H23" s="257"/>
      <c r="I23" s="257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6"/>
      <c r="U23" s="159"/>
      <c r="V23" s="159"/>
      <c r="W23" s="159"/>
      <c r="X23" s="159"/>
      <c r="Y23" s="159"/>
    </row>
    <row r="24" ht="15.75" customHeight="1">
      <c r="A24" s="182"/>
      <c r="B24" s="221" t="s">
        <v>200</v>
      </c>
      <c r="C24" s="176"/>
      <c r="D24" s="177"/>
      <c r="E24" s="184"/>
      <c r="F24" s="227">
        <v>45969.0</v>
      </c>
      <c r="G24" s="227">
        <v>45969.0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46"/>
      <c r="T24" s="274"/>
      <c r="U24" s="159"/>
      <c r="V24" s="159"/>
      <c r="W24" s="159"/>
      <c r="X24" s="159"/>
      <c r="Y24" s="159"/>
    </row>
    <row r="25" ht="15.75" customHeight="1">
      <c r="A25" s="182"/>
      <c r="B25" s="230" t="s">
        <v>201</v>
      </c>
      <c r="C25" s="231"/>
      <c r="D25" s="232"/>
      <c r="E25" s="233"/>
      <c r="F25" s="217"/>
      <c r="G25" s="217"/>
      <c r="H25" s="217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70"/>
      <c r="T25" s="275"/>
      <c r="U25" s="159"/>
      <c r="V25" s="159"/>
      <c r="W25" s="159"/>
      <c r="X25" s="159"/>
      <c r="Y25" s="159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59"/>
      <c r="V26" s="159"/>
      <c r="W26" s="159"/>
      <c r="X26" s="159"/>
      <c r="Y26" s="159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59"/>
      <c r="V27" s="159"/>
      <c r="W27" s="159"/>
      <c r="X27" s="159"/>
      <c r="Y27" s="159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59"/>
      <c r="V28" s="159"/>
      <c r="W28" s="159"/>
      <c r="X28" s="159"/>
      <c r="Y28" s="159"/>
    </row>
    <row r="29" ht="15.75" customHeight="1">
      <c r="A29" s="161"/>
      <c r="B29" s="161"/>
      <c r="C29" s="161"/>
      <c r="D29" s="161"/>
      <c r="E29" s="169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159"/>
      <c r="V29" s="159"/>
      <c r="W29" s="159"/>
      <c r="X29" s="159"/>
      <c r="Y29" s="159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59"/>
      <c r="V30" s="159"/>
      <c r="W30" s="159"/>
      <c r="X30" s="159"/>
      <c r="Y30" s="159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59"/>
      <c r="V31" s="159"/>
      <c r="W31" s="159"/>
      <c r="X31" s="159"/>
      <c r="Y31" s="159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25:D25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3:G23 J23:T23">
      <formula1>"P,F"</formula1>
    </dataValidation>
    <dataValidation type="list" allowBlank="1" showInputMessage="1" showErrorMessage="1" prompt=" - " sqref="F8:T21">
      <formula1>"O"</formula1>
    </dataValidation>
    <dataValidation type="list" allowBlank="1" showInputMessage="1" showErrorMessage="1" prompt="Nhấp và nhập một giá trị từ danh sách các mục" sqref="H23:I23">
      <formula1>"P,F,N/A"</formula1>
    </dataValidation>
    <dataValidation type="list" allowBlank="1" showInputMessage="1" showErrorMessage="1" prompt="Click and enter a value from the list of items" sqref="F22:T22">
      <formula1>"A,B,N"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110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COUNTIF(F23:HU23,"P")</f>
        <v>2</v>
      </c>
      <c r="B5" s="165"/>
      <c r="C5" s="164">
        <f>COUNTIF(H23:HW23,"F")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COUNTIF(E22:HU22,"N")</f>
        <v>1</v>
      </c>
      <c r="M5" s="168">
        <f>COUNTIF(F22:HV22,"A")</f>
        <v>1</v>
      </c>
      <c r="N5" s="168">
        <f>COUNTIF(G22:HW22,"B")</f>
        <v>0</v>
      </c>
      <c r="O5" s="167">
        <f>COUNTA(F7:HX7)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187" t="s">
        <v>272</v>
      </c>
      <c r="C11" s="154"/>
      <c r="D11" s="152"/>
      <c r="E11" s="184"/>
      <c r="F11" s="188"/>
      <c r="G11" s="23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8"/>
      <c r="I12" s="188"/>
      <c r="J12" s="188"/>
      <c r="K12" s="185"/>
      <c r="L12" s="185"/>
      <c r="M12" s="185"/>
      <c r="N12" s="185"/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92"/>
      <c r="B13" s="193" t="s">
        <v>249</v>
      </c>
      <c r="C13" s="194"/>
      <c r="D13" s="195"/>
      <c r="E13" s="196"/>
      <c r="F13" s="197"/>
      <c r="G13" s="198" t="s">
        <v>167</v>
      </c>
      <c r="H13" s="197"/>
      <c r="I13" s="198"/>
      <c r="J13" s="198"/>
      <c r="K13" s="198"/>
      <c r="L13" s="197"/>
      <c r="M13" s="197"/>
      <c r="N13" s="197"/>
      <c r="O13" s="197"/>
      <c r="P13" s="197"/>
      <c r="Q13" s="198"/>
      <c r="R13" s="197"/>
      <c r="S13" s="239"/>
      <c r="T13" s="262"/>
      <c r="U13" s="159"/>
      <c r="V13" s="159"/>
      <c r="W13" s="159"/>
      <c r="X13" s="159"/>
      <c r="Y13" s="159"/>
    </row>
    <row r="14">
      <c r="A14" s="174" t="s">
        <v>183</v>
      </c>
      <c r="B14" s="201" t="s">
        <v>184</v>
      </c>
      <c r="D14" s="202"/>
      <c r="E14" s="203"/>
      <c r="F14" s="179"/>
      <c r="G14" s="240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240"/>
      <c r="T14" s="263"/>
      <c r="U14" s="159"/>
      <c r="V14" s="159"/>
      <c r="W14" s="159"/>
      <c r="X14" s="159"/>
      <c r="Y14" s="159"/>
    </row>
    <row r="15">
      <c r="A15" s="182"/>
      <c r="B15" s="204" t="b">
        <v>1</v>
      </c>
      <c r="C15" s="154"/>
      <c r="D15" s="152"/>
      <c r="E15" s="184"/>
      <c r="F15" s="185" t="s">
        <v>167</v>
      </c>
      <c r="G15" s="23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238"/>
      <c r="T15" s="208"/>
      <c r="U15" s="159"/>
      <c r="V15" s="159"/>
      <c r="W15" s="159"/>
      <c r="X15" s="159"/>
      <c r="Y15" s="159"/>
    </row>
    <row r="16">
      <c r="A16" s="182"/>
      <c r="B16" s="204" t="b">
        <v>0</v>
      </c>
      <c r="C16" s="154"/>
      <c r="D16" s="152"/>
      <c r="E16" s="184"/>
      <c r="F16" s="188"/>
      <c r="G16" s="185" t="s">
        <v>167</v>
      </c>
      <c r="H16" s="188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260"/>
      <c r="U16" s="159"/>
      <c r="V16" s="159"/>
      <c r="W16" s="159"/>
      <c r="X16" s="159"/>
      <c r="Y16" s="159"/>
    </row>
    <row r="17">
      <c r="A17" s="182"/>
      <c r="B17" s="206" t="s">
        <v>185</v>
      </c>
      <c r="C17" s="154"/>
      <c r="D17" s="152"/>
      <c r="E17" s="207"/>
      <c r="F17" s="188"/>
      <c r="G17" s="23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238"/>
      <c r="T17" s="208"/>
      <c r="U17" s="159"/>
      <c r="V17" s="159"/>
      <c r="W17" s="159"/>
      <c r="X17" s="159"/>
      <c r="Y17" s="159"/>
    </row>
    <row r="18" ht="15.75" customHeight="1">
      <c r="A18" s="182"/>
      <c r="B18" s="183" t="s">
        <v>186</v>
      </c>
      <c r="C18" s="154"/>
      <c r="D18" s="152"/>
      <c r="E18" s="207"/>
      <c r="F18" s="185"/>
      <c r="G18" s="238"/>
      <c r="H18" s="185"/>
      <c r="I18" s="185"/>
      <c r="J18" s="185"/>
      <c r="K18" s="185"/>
      <c r="L18" s="185"/>
      <c r="M18" s="185"/>
      <c r="N18" s="185"/>
      <c r="O18" s="185"/>
      <c r="P18" s="212"/>
      <c r="Q18" s="212"/>
      <c r="R18" s="188"/>
      <c r="S18" s="185"/>
      <c r="T18" s="260"/>
      <c r="U18" s="159"/>
      <c r="V18" s="159"/>
      <c r="W18" s="159"/>
      <c r="X18" s="159"/>
      <c r="Y18" s="159"/>
    </row>
    <row r="19" ht="15.75" customHeight="1">
      <c r="A19" s="182"/>
      <c r="B19" s="206" t="s">
        <v>187</v>
      </c>
      <c r="C19" s="154"/>
      <c r="D19" s="152"/>
      <c r="E19" s="184"/>
      <c r="F19" s="209"/>
      <c r="G19" s="242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42"/>
      <c r="T19" s="264"/>
      <c r="U19" s="159"/>
      <c r="V19" s="159"/>
      <c r="W19" s="159"/>
      <c r="X19" s="159"/>
      <c r="Y19" s="159"/>
    </row>
    <row r="20" ht="15.75" customHeight="1">
      <c r="A20" s="182"/>
      <c r="B20" s="183" t="s">
        <v>270</v>
      </c>
      <c r="C20" s="154"/>
      <c r="D20" s="152"/>
      <c r="E20" s="184"/>
      <c r="F20" s="185"/>
      <c r="G20" s="238"/>
      <c r="H20" s="185"/>
      <c r="I20" s="185"/>
      <c r="J20" s="185"/>
      <c r="K20" s="188"/>
      <c r="L20" s="188"/>
      <c r="M20" s="188"/>
      <c r="N20" s="185"/>
      <c r="O20" s="185"/>
      <c r="P20" s="188"/>
      <c r="Q20" s="188"/>
      <c r="R20" s="188"/>
      <c r="S20" s="238"/>
      <c r="T20" s="208"/>
      <c r="U20" s="159"/>
      <c r="V20" s="159"/>
      <c r="W20" s="159"/>
      <c r="X20" s="159"/>
      <c r="Y20" s="159"/>
    </row>
    <row r="21" ht="15.75" customHeight="1">
      <c r="A21" s="182"/>
      <c r="B21" s="256" t="s">
        <v>271</v>
      </c>
      <c r="C21" s="214"/>
      <c r="D21" s="215"/>
      <c r="E21" s="216"/>
      <c r="F21" s="217"/>
      <c r="G21" s="198" t="s">
        <v>167</v>
      </c>
      <c r="H21" s="217"/>
      <c r="I21" s="198"/>
      <c r="J21" s="198"/>
      <c r="K21" s="198"/>
      <c r="L21" s="217"/>
      <c r="M21" s="217"/>
      <c r="N21" s="217"/>
      <c r="O21" s="217"/>
      <c r="P21" s="218"/>
      <c r="Q21" s="218"/>
      <c r="R21" s="218"/>
      <c r="S21" s="244"/>
      <c r="T21" s="265"/>
      <c r="U21" s="159"/>
      <c r="V21" s="159"/>
      <c r="W21" s="159"/>
      <c r="X21" s="159"/>
      <c r="Y21" s="159"/>
    </row>
    <row r="22" ht="15.75" customHeight="1">
      <c r="A22" s="220" t="s">
        <v>196</v>
      </c>
      <c r="B22" s="221" t="s">
        <v>197</v>
      </c>
      <c r="C22" s="176"/>
      <c r="D22" s="177"/>
      <c r="E22" s="178"/>
      <c r="F22" s="222" t="s">
        <v>137</v>
      </c>
      <c r="G22" s="222" t="s">
        <v>61</v>
      </c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67"/>
      <c r="U22" s="159"/>
      <c r="V22" s="159"/>
      <c r="W22" s="159"/>
      <c r="X22" s="159"/>
      <c r="Y22" s="159"/>
    </row>
    <row r="23" ht="15.75" customHeight="1">
      <c r="A23" s="182"/>
      <c r="B23" s="221" t="s">
        <v>198</v>
      </c>
      <c r="C23" s="176"/>
      <c r="D23" s="177"/>
      <c r="E23" s="184"/>
      <c r="F23" s="225" t="s">
        <v>199</v>
      </c>
      <c r="G23" s="268" t="s">
        <v>199</v>
      </c>
      <c r="H23" s="257"/>
      <c r="I23" s="257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6"/>
      <c r="U23" s="159"/>
      <c r="V23" s="159"/>
      <c r="W23" s="159"/>
      <c r="X23" s="159"/>
      <c r="Y23" s="159"/>
    </row>
    <row r="24" ht="15.75" customHeight="1">
      <c r="A24" s="182"/>
      <c r="B24" s="221" t="s">
        <v>200</v>
      </c>
      <c r="C24" s="176"/>
      <c r="D24" s="177"/>
      <c r="E24" s="184"/>
      <c r="F24" s="227">
        <v>45969.0</v>
      </c>
      <c r="G24" s="227">
        <v>45969.0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46"/>
      <c r="T24" s="274"/>
      <c r="U24" s="159"/>
      <c r="V24" s="159"/>
      <c r="W24" s="159"/>
      <c r="X24" s="159"/>
      <c r="Y24" s="159"/>
    </row>
    <row r="25" ht="15.75" customHeight="1">
      <c r="A25" s="182"/>
      <c r="B25" s="230" t="s">
        <v>201</v>
      </c>
      <c r="C25" s="231"/>
      <c r="D25" s="232"/>
      <c r="E25" s="233"/>
      <c r="F25" s="217"/>
      <c r="G25" s="217"/>
      <c r="H25" s="217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70"/>
      <c r="T25" s="275"/>
      <c r="U25" s="159"/>
      <c r="V25" s="159"/>
      <c r="W25" s="159"/>
      <c r="X25" s="159"/>
      <c r="Y25" s="159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59"/>
      <c r="V26" s="159"/>
      <c r="W26" s="159"/>
      <c r="X26" s="159"/>
      <c r="Y26" s="159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59"/>
      <c r="V27" s="159"/>
      <c r="W27" s="159"/>
      <c r="X27" s="159"/>
      <c r="Y27" s="159"/>
    </row>
    <row r="28" ht="15.75" customHeight="1">
      <c r="A28" s="161"/>
      <c r="B28" s="161"/>
      <c r="C28" s="161"/>
      <c r="D28" s="161"/>
      <c r="E28" s="169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59"/>
      <c r="V28" s="159"/>
      <c r="W28" s="159"/>
      <c r="X28" s="159"/>
      <c r="Y28" s="159"/>
    </row>
    <row r="29" ht="15.75" customHeight="1">
      <c r="A29" s="161"/>
      <c r="B29" s="161"/>
      <c r="C29" s="161"/>
      <c r="D29" s="161"/>
      <c r="E29" s="169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159"/>
      <c r="V29" s="159"/>
      <c r="W29" s="159"/>
      <c r="X29" s="159"/>
      <c r="Y29" s="159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59"/>
      <c r="V30" s="159"/>
      <c r="W30" s="159"/>
      <c r="X30" s="159"/>
      <c r="Y30" s="159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59"/>
      <c r="V31" s="159"/>
      <c r="W31" s="159"/>
      <c r="X31" s="159"/>
      <c r="Y31" s="159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7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25:D25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3:G23 J23:T23">
      <formula1>"P,F"</formula1>
    </dataValidation>
    <dataValidation type="list" allowBlank="1" showInputMessage="1" showErrorMessage="1" prompt=" - " sqref="F8:T21">
      <formula1>"O"</formula1>
    </dataValidation>
    <dataValidation type="list" allowBlank="1" showInputMessage="1" showErrorMessage="1" prompt="Nhấp và nhập một giá trị từ danh sách các mục" sqref="H23:I23">
      <formula1>"P,F,N/A"</formula1>
    </dataValidation>
    <dataValidation type="list" allowBlank="1" showInputMessage="1" showErrorMessage="1" prompt="Click and enter a value from the list of items" sqref="F22:T22">
      <formula1>"A,B,N"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5" width="5.13"/>
  </cols>
  <sheetData>
    <row r="1">
      <c r="A1" s="151" t="s">
        <v>202</v>
      </c>
      <c r="B1" s="152"/>
      <c r="C1" s="153" t="s">
        <v>105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111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COUNTIF(F26:HU26,"P")</f>
        <v>2</v>
      </c>
      <c r="B5" s="165"/>
      <c r="C5" s="164">
        <f>COUNTIF(H26:HW26,"F")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COUNTIF(E25:HU25,"N")</f>
        <v>1</v>
      </c>
      <c r="M5" s="168">
        <f>COUNTIF(F25:HV25,"A")</f>
        <v>1</v>
      </c>
      <c r="N5" s="168">
        <f>COUNTIF(G25:HW25,"B")</f>
        <v>0</v>
      </c>
      <c r="O5" s="167">
        <f>COUNTA(F7:HX7)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59"/>
      <c r="V7" s="159"/>
      <c r="W7" s="159"/>
      <c r="X7" s="159"/>
      <c r="Y7" s="159"/>
    </row>
    <row r="8">
      <c r="A8" s="174" t="s">
        <v>164</v>
      </c>
      <c r="B8" s="175" t="s">
        <v>165</v>
      </c>
      <c r="C8" s="176"/>
      <c r="D8" s="177"/>
      <c r="E8" s="178"/>
      <c r="F8" s="179"/>
      <c r="G8" s="240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40"/>
      <c r="T8" s="263"/>
      <c r="U8" s="159"/>
      <c r="V8" s="159"/>
      <c r="W8" s="159"/>
      <c r="X8" s="159"/>
      <c r="Y8" s="159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 t="s">
        <v>167</v>
      </c>
      <c r="I9" s="185"/>
      <c r="J9" s="185"/>
      <c r="K9" s="185"/>
      <c r="L9" s="185"/>
      <c r="M9" s="185"/>
      <c r="N9" s="185"/>
      <c r="O9" s="185"/>
      <c r="P9" s="185"/>
      <c r="Q9" s="185"/>
      <c r="R9" s="212"/>
      <c r="S9" s="212"/>
      <c r="T9" s="260"/>
      <c r="U9" s="159"/>
      <c r="V9" s="159"/>
      <c r="W9" s="159"/>
      <c r="X9" s="159"/>
      <c r="Y9" s="159"/>
    </row>
    <row r="10">
      <c r="A10" s="182"/>
      <c r="B10" s="183" t="s">
        <v>250</v>
      </c>
      <c r="C10" s="154"/>
      <c r="D10" s="152"/>
      <c r="E10" s="184"/>
      <c r="F10" s="185" t="s">
        <v>167</v>
      </c>
      <c r="G10" s="185" t="s">
        <v>167</v>
      </c>
      <c r="H10" s="185" t="s">
        <v>167</v>
      </c>
      <c r="I10" s="185"/>
      <c r="J10" s="185"/>
      <c r="K10" s="185"/>
      <c r="L10" s="185"/>
      <c r="M10" s="185"/>
      <c r="N10" s="185"/>
      <c r="O10" s="185"/>
      <c r="P10" s="185"/>
      <c r="Q10" s="185"/>
      <c r="R10" s="212"/>
      <c r="S10" s="212"/>
      <c r="T10" s="260"/>
      <c r="U10" s="159"/>
      <c r="V10" s="159"/>
      <c r="W10" s="159"/>
      <c r="X10" s="159"/>
      <c r="Y10" s="159"/>
    </row>
    <row r="11">
      <c r="A11" s="182"/>
      <c r="B11" s="187" t="s">
        <v>272</v>
      </c>
      <c r="C11" s="154"/>
      <c r="D11" s="152"/>
      <c r="E11" s="184"/>
      <c r="F11" s="188"/>
      <c r="G11" s="23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238"/>
      <c r="T11" s="208"/>
      <c r="U11" s="159"/>
      <c r="V11" s="159"/>
      <c r="W11" s="159"/>
      <c r="X11" s="159"/>
      <c r="Y11" s="159"/>
    </row>
    <row r="12">
      <c r="A12" s="182"/>
      <c r="B12" s="183" t="s">
        <v>248</v>
      </c>
      <c r="C12" s="154"/>
      <c r="D12" s="152"/>
      <c r="E12" s="184"/>
      <c r="F12" s="185" t="s">
        <v>167</v>
      </c>
      <c r="G12" s="238"/>
      <c r="H12" s="185" t="s">
        <v>167</v>
      </c>
      <c r="I12" s="188"/>
      <c r="J12" s="188"/>
      <c r="K12" s="185"/>
      <c r="L12" s="185"/>
      <c r="M12" s="185"/>
      <c r="N12" s="185"/>
      <c r="O12" s="185"/>
      <c r="P12" s="185"/>
      <c r="Q12" s="185"/>
      <c r="R12" s="212"/>
      <c r="S12" s="212"/>
      <c r="T12" s="260"/>
      <c r="U12" s="159"/>
      <c r="V12" s="159"/>
      <c r="W12" s="159"/>
      <c r="X12" s="159"/>
      <c r="Y12" s="159"/>
    </row>
    <row r="13">
      <c r="A13" s="182"/>
      <c r="B13" s="190" t="s">
        <v>249</v>
      </c>
      <c r="C13" s="154"/>
      <c r="D13" s="152"/>
      <c r="E13" s="249"/>
      <c r="F13" s="212"/>
      <c r="G13" s="185" t="s">
        <v>167</v>
      </c>
      <c r="H13" s="210"/>
      <c r="I13" s="210"/>
      <c r="J13" s="210"/>
      <c r="K13" s="212"/>
      <c r="L13" s="212"/>
      <c r="M13" s="212"/>
      <c r="N13" s="212"/>
      <c r="O13" s="212"/>
      <c r="P13" s="212"/>
      <c r="Q13" s="212"/>
      <c r="R13" s="212"/>
      <c r="S13" s="212"/>
      <c r="T13" s="277"/>
      <c r="U13" s="159"/>
      <c r="V13" s="159"/>
      <c r="W13" s="159"/>
      <c r="X13" s="159"/>
      <c r="Y13" s="159"/>
    </row>
    <row r="14">
      <c r="A14" s="182"/>
      <c r="B14" s="187" t="s">
        <v>286</v>
      </c>
      <c r="C14" s="154"/>
      <c r="D14" s="152"/>
      <c r="E14" s="249"/>
      <c r="F14" s="212"/>
      <c r="G14" s="243"/>
      <c r="H14" s="210"/>
      <c r="I14" s="210"/>
      <c r="J14" s="210"/>
      <c r="K14" s="212"/>
      <c r="L14" s="212"/>
      <c r="M14" s="212"/>
      <c r="N14" s="212"/>
      <c r="O14" s="212"/>
      <c r="P14" s="212"/>
      <c r="Q14" s="212"/>
      <c r="R14" s="212"/>
      <c r="S14" s="212"/>
      <c r="T14" s="277"/>
      <c r="U14" s="159"/>
      <c r="V14" s="159"/>
      <c r="W14" s="159"/>
      <c r="X14" s="159"/>
      <c r="Y14" s="159"/>
    </row>
    <row r="15">
      <c r="A15" s="182"/>
      <c r="B15" s="183" t="s">
        <v>248</v>
      </c>
      <c r="C15" s="154"/>
      <c r="D15" s="152"/>
      <c r="E15" s="249"/>
      <c r="F15" s="185" t="s">
        <v>167</v>
      </c>
      <c r="G15" s="185" t="s">
        <v>167</v>
      </c>
      <c r="H15" s="210"/>
      <c r="I15" s="210"/>
      <c r="J15" s="210"/>
      <c r="K15" s="212"/>
      <c r="L15" s="212"/>
      <c r="M15" s="212"/>
      <c r="N15" s="212"/>
      <c r="O15" s="212"/>
      <c r="P15" s="212"/>
      <c r="Q15" s="212"/>
      <c r="R15" s="212"/>
      <c r="S15" s="212"/>
      <c r="T15" s="277"/>
      <c r="U15" s="159"/>
      <c r="V15" s="159"/>
      <c r="W15" s="159"/>
      <c r="X15" s="159"/>
      <c r="Y15" s="159"/>
    </row>
    <row r="16">
      <c r="A16" s="192"/>
      <c r="B16" s="247" t="s">
        <v>170</v>
      </c>
      <c r="C16" s="194"/>
      <c r="D16" s="195"/>
      <c r="E16" s="196"/>
      <c r="F16" s="197"/>
      <c r="G16" s="198"/>
      <c r="H16" s="199" t="s">
        <v>167</v>
      </c>
      <c r="I16" s="198"/>
      <c r="J16" s="198"/>
      <c r="K16" s="198"/>
      <c r="L16" s="197"/>
      <c r="M16" s="197"/>
      <c r="N16" s="197"/>
      <c r="O16" s="197"/>
      <c r="P16" s="197"/>
      <c r="Q16" s="198"/>
      <c r="R16" s="197"/>
      <c r="S16" s="239"/>
      <c r="T16" s="262"/>
      <c r="U16" s="159"/>
      <c r="V16" s="159"/>
      <c r="W16" s="159"/>
      <c r="X16" s="159"/>
      <c r="Y16" s="159"/>
    </row>
    <row r="17">
      <c r="A17" s="174" t="s">
        <v>183</v>
      </c>
      <c r="B17" s="201" t="s">
        <v>184</v>
      </c>
      <c r="D17" s="202"/>
      <c r="E17" s="203"/>
      <c r="F17" s="179"/>
      <c r="G17" s="240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240"/>
      <c r="T17" s="263"/>
      <c r="U17" s="159"/>
      <c r="V17" s="159"/>
      <c r="W17" s="159"/>
      <c r="X17" s="159"/>
      <c r="Y17" s="159"/>
    </row>
    <row r="18">
      <c r="A18" s="182"/>
      <c r="B18" s="204" t="b">
        <v>1</v>
      </c>
      <c r="C18" s="154"/>
      <c r="D18" s="152"/>
      <c r="E18" s="184"/>
      <c r="F18" s="185" t="s">
        <v>167</v>
      </c>
      <c r="G18" s="23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238"/>
      <c r="T18" s="208"/>
      <c r="U18" s="159"/>
      <c r="V18" s="159"/>
      <c r="W18" s="159"/>
      <c r="X18" s="159"/>
      <c r="Y18" s="159"/>
    </row>
    <row r="19">
      <c r="A19" s="182"/>
      <c r="B19" s="204" t="b">
        <v>0</v>
      </c>
      <c r="C19" s="154"/>
      <c r="D19" s="152"/>
      <c r="E19" s="184"/>
      <c r="F19" s="188"/>
      <c r="G19" s="185" t="s">
        <v>167</v>
      </c>
      <c r="H19" s="188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260"/>
      <c r="U19" s="159"/>
      <c r="V19" s="159"/>
      <c r="W19" s="159"/>
      <c r="X19" s="159"/>
      <c r="Y19" s="159"/>
    </row>
    <row r="20">
      <c r="A20" s="182"/>
      <c r="B20" s="206" t="s">
        <v>185</v>
      </c>
      <c r="C20" s="154"/>
      <c r="D20" s="152"/>
      <c r="E20" s="207"/>
      <c r="F20" s="188"/>
      <c r="G20" s="23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238"/>
      <c r="T20" s="208"/>
      <c r="U20" s="159"/>
      <c r="V20" s="159"/>
      <c r="W20" s="159"/>
      <c r="X20" s="159"/>
      <c r="Y20" s="159"/>
    </row>
    <row r="21" ht="15.75" customHeight="1">
      <c r="A21" s="182"/>
      <c r="B21" s="183" t="s">
        <v>186</v>
      </c>
      <c r="C21" s="154"/>
      <c r="D21" s="152"/>
      <c r="E21" s="207"/>
      <c r="F21" s="185"/>
      <c r="G21" s="238"/>
      <c r="H21" s="205" t="s">
        <v>167</v>
      </c>
      <c r="I21" s="185"/>
      <c r="J21" s="185"/>
      <c r="K21" s="185"/>
      <c r="L21" s="185"/>
      <c r="M21" s="185"/>
      <c r="N21" s="185"/>
      <c r="O21" s="185"/>
      <c r="P21" s="212"/>
      <c r="Q21" s="212"/>
      <c r="R21" s="188"/>
      <c r="S21" s="185"/>
      <c r="T21" s="260"/>
      <c r="U21" s="159"/>
      <c r="V21" s="159"/>
      <c r="W21" s="159"/>
      <c r="X21" s="159"/>
      <c r="Y21" s="159"/>
    </row>
    <row r="22" ht="15.75" customHeight="1">
      <c r="A22" s="182"/>
      <c r="B22" s="206" t="s">
        <v>187</v>
      </c>
      <c r="C22" s="154"/>
      <c r="D22" s="152"/>
      <c r="E22" s="184"/>
      <c r="F22" s="209"/>
      <c r="G22" s="242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42"/>
      <c r="T22" s="264"/>
      <c r="U22" s="159"/>
      <c r="V22" s="159"/>
      <c r="W22" s="159"/>
      <c r="X22" s="159"/>
      <c r="Y22" s="159"/>
    </row>
    <row r="23" ht="15.75" customHeight="1">
      <c r="A23" s="182"/>
      <c r="B23" s="190" t="s">
        <v>271</v>
      </c>
      <c r="C23" s="154"/>
      <c r="D23" s="152"/>
      <c r="E23" s="249"/>
      <c r="F23" s="212"/>
      <c r="G23" s="185" t="s">
        <v>167</v>
      </c>
      <c r="H23" s="212"/>
      <c r="I23" s="212"/>
      <c r="J23" s="212"/>
      <c r="K23" s="210"/>
      <c r="L23" s="210"/>
      <c r="M23" s="210"/>
      <c r="N23" s="212"/>
      <c r="O23" s="212"/>
      <c r="P23" s="210"/>
      <c r="Q23" s="210"/>
      <c r="R23" s="210"/>
      <c r="S23" s="243"/>
      <c r="T23" s="261"/>
      <c r="U23" s="159"/>
      <c r="V23" s="159"/>
      <c r="W23" s="159"/>
      <c r="X23" s="159"/>
      <c r="Y23" s="159"/>
    </row>
    <row r="24" ht="15.75" customHeight="1">
      <c r="A24" s="182"/>
      <c r="B24" s="213" t="s">
        <v>287</v>
      </c>
      <c r="C24" s="214"/>
      <c r="D24" s="215"/>
      <c r="E24" s="216"/>
      <c r="F24" s="217"/>
      <c r="G24" s="198"/>
      <c r="H24" s="199" t="s">
        <v>167</v>
      </c>
      <c r="I24" s="198"/>
      <c r="J24" s="198"/>
      <c r="K24" s="198"/>
      <c r="L24" s="217"/>
      <c r="M24" s="217"/>
      <c r="N24" s="217"/>
      <c r="O24" s="217"/>
      <c r="P24" s="218"/>
      <c r="Q24" s="218"/>
      <c r="R24" s="218"/>
      <c r="S24" s="244"/>
      <c r="T24" s="265"/>
      <c r="U24" s="159"/>
      <c r="V24" s="159"/>
      <c r="W24" s="159"/>
      <c r="X24" s="159"/>
      <c r="Y24" s="159"/>
    </row>
    <row r="25" ht="15.75" customHeight="1">
      <c r="A25" s="220" t="s">
        <v>196</v>
      </c>
      <c r="B25" s="221" t="s">
        <v>197</v>
      </c>
      <c r="C25" s="176"/>
      <c r="D25" s="177"/>
      <c r="E25" s="178"/>
      <c r="F25" s="222" t="s">
        <v>137</v>
      </c>
      <c r="G25" s="222" t="s">
        <v>61</v>
      </c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67"/>
      <c r="U25" s="159"/>
      <c r="V25" s="159"/>
      <c r="W25" s="159"/>
      <c r="X25" s="159"/>
      <c r="Y25" s="159"/>
    </row>
    <row r="26" ht="15.75" customHeight="1">
      <c r="A26" s="182"/>
      <c r="B26" s="221" t="s">
        <v>198</v>
      </c>
      <c r="C26" s="176"/>
      <c r="D26" s="177"/>
      <c r="E26" s="184"/>
      <c r="F26" s="225" t="s">
        <v>199</v>
      </c>
      <c r="G26" s="268" t="s">
        <v>199</v>
      </c>
      <c r="H26" s="257"/>
      <c r="I26" s="257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6"/>
      <c r="U26" s="159"/>
      <c r="V26" s="159"/>
      <c r="W26" s="159"/>
      <c r="X26" s="159"/>
      <c r="Y26" s="159"/>
    </row>
    <row r="27" ht="15.75" customHeight="1">
      <c r="A27" s="182"/>
      <c r="B27" s="221" t="s">
        <v>200</v>
      </c>
      <c r="C27" s="176"/>
      <c r="D27" s="177"/>
      <c r="E27" s="184"/>
      <c r="F27" s="227">
        <v>45969.0</v>
      </c>
      <c r="G27" s="227">
        <v>45969.0</v>
      </c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46"/>
      <c r="T27" s="274"/>
      <c r="U27" s="159"/>
      <c r="V27" s="159"/>
      <c r="W27" s="159"/>
      <c r="X27" s="159"/>
      <c r="Y27" s="159"/>
    </row>
    <row r="28" ht="15.75" customHeight="1">
      <c r="A28" s="182"/>
      <c r="B28" s="230" t="s">
        <v>201</v>
      </c>
      <c r="C28" s="231"/>
      <c r="D28" s="232"/>
      <c r="E28" s="233"/>
      <c r="F28" s="217"/>
      <c r="G28" s="217"/>
      <c r="H28" s="217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70"/>
      <c r="T28" s="275"/>
      <c r="U28" s="159"/>
      <c r="V28" s="159"/>
      <c r="W28" s="159"/>
      <c r="X28" s="159"/>
      <c r="Y28" s="159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59"/>
      <c r="V29" s="159"/>
      <c r="W29" s="159"/>
      <c r="X29" s="159"/>
      <c r="Y29" s="159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59"/>
      <c r="V30" s="159"/>
      <c r="W30" s="159"/>
      <c r="X30" s="159"/>
      <c r="Y30" s="159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59"/>
      <c r="V31" s="159"/>
      <c r="W31" s="159"/>
      <c r="X31" s="159"/>
      <c r="Y31" s="159"/>
    </row>
    <row r="32" ht="15.75" customHeight="1">
      <c r="A32" s="161"/>
      <c r="B32" s="161"/>
      <c r="C32" s="161"/>
      <c r="D32" s="161"/>
      <c r="E32" s="169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159"/>
      <c r="V32" s="159"/>
      <c r="W32" s="159"/>
      <c r="X32" s="159"/>
      <c r="Y32" s="159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59"/>
      <c r="V33" s="159"/>
      <c r="W33" s="159"/>
      <c r="X33" s="159"/>
      <c r="Y33" s="159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59"/>
      <c r="V34" s="159"/>
      <c r="W34" s="159"/>
      <c r="X34" s="159"/>
      <c r="Y34" s="159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>
      <c r="A225" s="161"/>
      <c r="B225" s="161"/>
      <c r="C225" s="161"/>
      <c r="D225" s="161"/>
      <c r="E225" s="169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</row>
    <row r="226" ht="15.75" customHeight="1">
      <c r="A226" s="161"/>
      <c r="B226" s="161"/>
      <c r="C226" s="161"/>
      <c r="D226" s="161"/>
      <c r="E226" s="169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</row>
    <row r="227" ht="15.75" customHeight="1">
      <c r="A227" s="161"/>
      <c r="B227" s="161"/>
      <c r="C227" s="161"/>
      <c r="D227" s="161"/>
      <c r="E227" s="169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</row>
    <row r="228" ht="15.75" customHeight="1">
      <c r="A228" s="161"/>
      <c r="B228" s="161"/>
      <c r="C228" s="161"/>
      <c r="D228" s="161"/>
      <c r="E228" s="169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5:D25"/>
    <mergeCell ref="B26:D26"/>
    <mergeCell ref="B27:D27"/>
    <mergeCell ref="B28:D28"/>
    <mergeCell ref="B18:D18"/>
    <mergeCell ref="B19:D19"/>
    <mergeCell ref="B20:D20"/>
    <mergeCell ref="B21:D21"/>
    <mergeCell ref="B22:D22"/>
    <mergeCell ref="B23:D23"/>
    <mergeCell ref="B24:D24"/>
  </mergeCells>
  <dataValidations>
    <dataValidation type="list" allowBlank="1" showInputMessage="1" showErrorMessage="1" prompt="Click and enter a value from the list of items" sqref="F26:G26 J26:T26">
      <formula1>"P,F"</formula1>
    </dataValidation>
    <dataValidation type="list" allowBlank="1" showInputMessage="1" showErrorMessage="1" prompt=" - " sqref="F8:T24">
      <formula1>"O"</formula1>
    </dataValidation>
    <dataValidation type="list" allowBlank="1" showInputMessage="1" showErrorMessage="1" prompt="Nhấp và nhập một giá trị từ danh sách các mục" sqref="H26:I26">
      <formula1>"P,F,N/A"</formula1>
    </dataValidation>
    <dataValidation type="list" allowBlank="1" showInputMessage="1" showErrorMessage="1" prompt="Click and enter a value from the list of items" sqref="F25:T25">
      <formula1>"A,B,N"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112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113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288</v>
      </c>
      <c r="C10" s="154"/>
      <c r="D10" s="152"/>
      <c r="E10" s="184"/>
      <c r="F10" s="188"/>
      <c r="G10" s="23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181</v>
      </c>
      <c r="C11" s="154"/>
      <c r="D11" s="152"/>
      <c r="E11" s="184"/>
      <c r="F11" s="185" t="s">
        <v>167</v>
      </c>
      <c r="G11" s="23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182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238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226</v>
      </c>
      <c r="C19" s="154"/>
      <c r="D19" s="152"/>
      <c r="E19" s="184"/>
      <c r="F19" s="188"/>
      <c r="G19" s="23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13" t="s">
        <v>289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45970.0</v>
      </c>
      <c r="G23" s="227">
        <v>45970.0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K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J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hidden="1" min="5" max="5" width="12.63"/>
    <col customWidth="1" min="6" max="20" width="5.13"/>
  </cols>
  <sheetData>
    <row r="1">
      <c r="A1" s="151" t="s">
        <v>202</v>
      </c>
      <c r="B1" s="152"/>
      <c r="C1" s="153" t="s">
        <v>112</v>
      </c>
      <c r="D1" s="154"/>
      <c r="E1" s="152"/>
      <c r="F1" s="151" t="s">
        <v>148</v>
      </c>
      <c r="G1" s="154"/>
      <c r="H1" s="154"/>
      <c r="I1" s="154"/>
      <c r="J1" s="154"/>
      <c r="K1" s="152"/>
      <c r="L1" s="155" t="s">
        <v>114</v>
      </c>
      <c r="M1" s="154"/>
      <c r="N1" s="154"/>
      <c r="O1" s="154"/>
      <c r="P1" s="154"/>
      <c r="Q1" s="154"/>
      <c r="R1" s="154"/>
      <c r="S1" s="154"/>
      <c r="T1" s="152"/>
      <c r="U1" s="156"/>
      <c r="V1" s="156"/>
      <c r="W1" s="156"/>
    </row>
    <row r="2">
      <c r="A2" s="151" t="s">
        <v>149</v>
      </c>
      <c r="B2" s="152"/>
      <c r="C2" s="157" t="s">
        <v>48</v>
      </c>
      <c r="D2" s="154"/>
      <c r="E2" s="152"/>
      <c r="F2" s="151" t="s">
        <v>150</v>
      </c>
      <c r="G2" s="154"/>
      <c r="H2" s="154"/>
      <c r="I2" s="154"/>
      <c r="J2" s="154"/>
      <c r="K2" s="152"/>
      <c r="L2" s="158" t="s">
        <v>48</v>
      </c>
      <c r="M2" s="154"/>
      <c r="N2" s="154"/>
      <c r="O2" s="154"/>
      <c r="P2" s="154"/>
      <c r="Q2" s="154"/>
      <c r="R2" s="154"/>
      <c r="S2" s="154"/>
      <c r="T2" s="152"/>
      <c r="U2" s="159"/>
      <c r="V2" s="159"/>
      <c r="W2" s="159"/>
    </row>
    <row r="3">
      <c r="A3" s="151" t="s">
        <v>151</v>
      </c>
      <c r="B3" s="152"/>
      <c r="C3" s="160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2"/>
      <c r="U3" s="161"/>
      <c r="V3" s="159"/>
      <c r="W3" s="159"/>
    </row>
    <row r="4">
      <c r="A4" s="162" t="s">
        <v>134</v>
      </c>
      <c r="B4" s="152"/>
      <c r="C4" s="163" t="s">
        <v>135</v>
      </c>
      <c r="D4" s="154"/>
      <c r="E4" s="152"/>
      <c r="F4" s="163" t="s">
        <v>136</v>
      </c>
      <c r="G4" s="154"/>
      <c r="H4" s="154"/>
      <c r="I4" s="154"/>
      <c r="J4" s="154"/>
      <c r="K4" s="152"/>
      <c r="L4" s="163" t="s">
        <v>152</v>
      </c>
      <c r="M4" s="154"/>
      <c r="N4" s="152"/>
      <c r="O4" s="163" t="s">
        <v>139</v>
      </c>
      <c r="P4" s="154"/>
      <c r="Q4" s="154"/>
      <c r="R4" s="154"/>
      <c r="S4" s="154"/>
      <c r="T4" s="152"/>
      <c r="U4" s="159"/>
      <c r="V4" s="159"/>
      <c r="W4" s="159"/>
    </row>
    <row r="5">
      <c r="A5" s="164">
        <f>COUNTIF(F22:HT22,"P")</f>
        <v>2</v>
      </c>
      <c r="B5" s="165"/>
      <c r="C5" s="164">
        <f>COUNTIF(H22:HV22,"F")</f>
        <v>0</v>
      </c>
      <c r="D5" s="166"/>
      <c r="E5" s="165"/>
      <c r="F5" s="167">
        <f>SUM(O5,-A5,-C5)</f>
        <v>0</v>
      </c>
      <c r="G5" s="166"/>
      <c r="H5" s="166"/>
      <c r="I5" s="166"/>
      <c r="J5" s="166"/>
      <c r="K5" s="165"/>
      <c r="L5" s="168">
        <f>COUNTIF(E21:HT21,"N")</f>
        <v>1</v>
      </c>
      <c r="M5" s="168">
        <f>COUNTIF(F21:HU21,"A")</f>
        <v>1</v>
      </c>
      <c r="N5" s="168">
        <f>COUNTIF(G21:HV21,"B")</f>
        <v>0</v>
      </c>
      <c r="O5" s="167">
        <f>COUNTA(F7:HW7)</f>
        <v>2</v>
      </c>
      <c r="P5" s="166"/>
      <c r="Q5" s="166"/>
      <c r="R5" s="166"/>
      <c r="S5" s="166"/>
      <c r="T5" s="165"/>
      <c r="U5" s="159"/>
      <c r="V5" s="159"/>
      <c r="W5" s="159"/>
    </row>
    <row r="6">
      <c r="A6" s="161"/>
      <c r="B6" s="161"/>
      <c r="C6" s="161"/>
      <c r="D6" s="161"/>
      <c r="E6" s="169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</row>
    <row r="7" ht="45.0" customHeight="1">
      <c r="A7" s="170"/>
      <c r="B7" s="170"/>
      <c r="C7" s="170"/>
      <c r="D7" s="170"/>
      <c r="E7" s="170"/>
      <c r="F7" s="171" t="s">
        <v>153</v>
      </c>
      <c r="G7" s="171" t="s">
        <v>154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2"/>
      <c r="W7" s="172"/>
      <c r="X7" s="173"/>
    </row>
    <row r="8">
      <c r="A8" s="174" t="s">
        <v>164</v>
      </c>
      <c r="B8" s="175" t="s">
        <v>165</v>
      </c>
      <c r="C8" s="176"/>
      <c r="D8" s="177"/>
      <c r="E8" s="178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0"/>
      <c r="T8" s="181"/>
      <c r="U8" s="161"/>
      <c r="V8" s="161"/>
      <c r="W8" s="161"/>
    </row>
    <row r="9">
      <c r="A9" s="182"/>
      <c r="B9" s="183" t="s">
        <v>166</v>
      </c>
      <c r="C9" s="154"/>
      <c r="D9" s="152"/>
      <c r="E9" s="184"/>
      <c r="F9" s="185" t="s">
        <v>167</v>
      </c>
      <c r="G9" s="185" t="s">
        <v>167</v>
      </c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6"/>
      <c r="U9" s="161"/>
      <c r="V9" s="161"/>
      <c r="W9" s="161"/>
    </row>
    <row r="10">
      <c r="A10" s="182"/>
      <c r="B10" s="187" t="s">
        <v>288</v>
      </c>
      <c r="C10" s="154"/>
      <c r="D10" s="152"/>
      <c r="E10" s="184"/>
      <c r="F10" s="188"/>
      <c r="G10" s="23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9"/>
      <c r="U10" s="161"/>
      <c r="V10" s="161"/>
      <c r="W10" s="161"/>
    </row>
    <row r="11">
      <c r="A11" s="182"/>
      <c r="B11" s="183" t="s">
        <v>181</v>
      </c>
      <c r="C11" s="154"/>
      <c r="D11" s="152"/>
      <c r="E11" s="184"/>
      <c r="F11" s="185" t="s">
        <v>167</v>
      </c>
      <c r="G11" s="238"/>
      <c r="H11" s="188"/>
      <c r="I11" s="188"/>
      <c r="J11" s="188"/>
      <c r="K11" s="185"/>
      <c r="L11" s="188"/>
      <c r="M11" s="188"/>
      <c r="N11" s="188"/>
      <c r="O11" s="188"/>
      <c r="P11" s="188"/>
      <c r="Q11" s="188"/>
      <c r="R11" s="188"/>
      <c r="S11" s="188"/>
      <c r="T11" s="189"/>
      <c r="U11" s="161"/>
      <c r="V11" s="161"/>
      <c r="W11" s="161"/>
    </row>
    <row r="12">
      <c r="A12" s="192"/>
      <c r="B12" s="193" t="s">
        <v>182</v>
      </c>
      <c r="C12" s="194"/>
      <c r="D12" s="195"/>
      <c r="E12" s="196"/>
      <c r="F12" s="197"/>
      <c r="G12" s="198" t="s">
        <v>167</v>
      </c>
      <c r="H12" s="197"/>
      <c r="I12" s="198"/>
      <c r="J12" s="198"/>
      <c r="K12" s="197"/>
      <c r="L12" s="197"/>
      <c r="M12" s="197"/>
      <c r="N12" s="197"/>
      <c r="O12" s="197"/>
      <c r="P12" s="197"/>
      <c r="Q12" s="197"/>
      <c r="R12" s="197"/>
      <c r="S12" s="197"/>
      <c r="T12" s="200"/>
      <c r="U12" s="161"/>
      <c r="V12" s="161"/>
      <c r="W12" s="161"/>
    </row>
    <row r="13">
      <c r="A13" s="174" t="s">
        <v>183</v>
      </c>
      <c r="B13" s="201" t="s">
        <v>184</v>
      </c>
      <c r="D13" s="202"/>
      <c r="E13" s="203"/>
      <c r="F13" s="179"/>
      <c r="G13" s="240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81"/>
      <c r="U13" s="161"/>
      <c r="V13" s="161"/>
      <c r="W13" s="161"/>
    </row>
    <row r="14">
      <c r="A14" s="182"/>
      <c r="B14" s="204" t="b">
        <v>1</v>
      </c>
      <c r="C14" s="154"/>
      <c r="D14" s="152"/>
      <c r="E14" s="184"/>
      <c r="F14" s="185" t="s">
        <v>167</v>
      </c>
      <c r="G14" s="23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9"/>
      <c r="U14" s="161"/>
      <c r="V14" s="161"/>
      <c r="W14" s="161"/>
    </row>
    <row r="15">
      <c r="A15" s="182"/>
      <c r="B15" s="204" t="b">
        <v>0</v>
      </c>
      <c r="C15" s="154"/>
      <c r="D15" s="152"/>
      <c r="E15" s="184"/>
      <c r="F15" s="188"/>
      <c r="G15" s="185" t="s">
        <v>167</v>
      </c>
      <c r="H15" s="188"/>
      <c r="I15" s="185"/>
      <c r="J15" s="185"/>
      <c r="K15" s="185"/>
      <c r="L15" s="185"/>
      <c r="M15" s="185"/>
      <c r="N15" s="188"/>
      <c r="O15" s="188"/>
      <c r="P15" s="185"/>
      <c r="Q15" s="185"/>
      <c r="R15" s="185"/>
      <c r="S15" s="185"/>
      <c r="T15" s="186"/>
      <c r="U15" s="161"/>
      <c r="V15" s="161"/>
      <c r="W15" s="161"/>
    </row>
    <row r="16">
      <c r="A16" s="182"/>
      <c r="B16" s="206" t="s">
        <v>185</v>
      </c>
      <c r="C16" s="154"/>
      <c r="D16" s="152"/>
      <c r="E16" s="207"/>
      <c r="F16" s="188"/>
      <c r="G16" s="23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9"/>
      <c r="U16" s="161"/>
      <c r="V16" s="161"/>
      <c r="W16" s="161"/>
    </row>
    <row r="17">
      <c r="A17" s="182"/>
      <c r="B17" s="183" t="s">
        <v>186</v>
      </c>
      <c r="C17" s="154"/>
      <c r="D17" s="152"/>
      <c r="E17" s="207"/>
      <c r="F17" s="188"/>
      <c r="G17" s="238"/>
      <c r="H17" s="185"/>
      <c r="I17" s="185"/>
      <c r="J17" s="185"/>
      <c r="K17" s="188"/>
      <c r="L17" s="188"/>
      <c r="M17" s="188"/>
      <c r="N17" s="185"/>
      <c r="O17" s="185"/>
      <c r="P17" s="188"/>
      <c r="Q17" s="188"/>
      <c r="R17" s="188"/>
      <c r="S17" s="188"/>
      <c r="T17" s="208"/>
      <c r="U17" s="161"/>
      <c r="V17" s="161"/>
      <c r="W17" s="161"/>
    </row>
    <row r="18" ht="15.75" customHeight="1">
      <c r="A18" s="182"/>
      <c r="B18" s="206" t="s">
        <v>187</v>
      </c>
      <c r="C18" s="154"/>
      <c r="D18" s="152"/>
      <c r="E18" s="184"/>
      <c r="F18" s="209"/>
      <c r="G18" s="242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189"/>
      <c r="U18" s="161"/>
      <c r="V18" s="161"/>
      <c r="W18" s="161"/>
    </row>
    <row r="19" ht="15.75" customHeight="1">
      <c r="A19" s="182"/>
      <c r="B19" s="183" t="s">
        <v>226</v>
      </c>
      <c r="C19" s="154"/>
      <c r="D19" s="152"/>
      <c r="E19" s="184"/>
      <c r="F19" s="188"/>
      <c r="G19" s="238"/>
      <c r="H19" s="185"/>
      <c r="I19" s="185"/>
      <c r="J19" s="188"/>
      <c r="K19" s="188"/>
      <c r="L19" s="188"/>
      <c r="M19" s="188"/>
      <c r="N19" s="185"/>
      <c r="O19" s="185"/>
      <c r="P19" s="188"/>
      <c r="Q19" s="188"/>
      <c r="R19" s="188"/>
      <c r="S19" s="188"/>
      <c r="T19" s="189"/>
      <c r="U19" s="161"/>
      <c r="V19" s="161"/>
      <c r="W19" s="161"/>
    </row>
    <row r="20" ht="15.75" customHeight="1">
      <c r="A20" s="182"/>
      <c r="B20" s="213" t="s">
        <v>289</v>
      </c>
      <c r="C20" s="214"/>
      <c r="D20" s="215"/>
      <c r="E20" s="216"/>
      <c r="F20" s="217"/>
      <c r="G20" s="198" t="s">
        <v>167</v>
      </c>
      <c r="H20" s="217"/>
      <c r="I20" s="198"/>
      <c r="J20" s="198"/>
      <c r="K20" s="217"/>
      <c r="L20" s="217"/>
      <c r="M20" s="217"/>
      <c r="N20" s="217"/>
      <c r="O20" s="217"/>
      <c r="P20" s="218"/>
      <c r="Q20" s="218"/>
      <c r="R20" s="218"/>
      <c r="S20" s="218"/>
      <c r="T20" s="219"/>
      <c r="U20" s="161"/>
      <c r="V20" s="161"/>
      <c r="W20" s="161"/>
    </row>
    <row r="21" ht="15.75" customHeight="1">
      <c r="A21" s="220" t="s">
        <v>196</v>
      </c>
      <c r="B21" s="221" t="s">
        <v>197</v>
      </c>
      <c r="C21" s="176"/>
      <c r="D21" s="177"/>
      <c r="E21" s="178"/>
      <c r="F21" s="222" t="s">
        <v>137</v>
      </c>
      <c r="G21" s="222" t="s">
        <v>61</v>
      </c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4"/>
      <c r="U21" s="161"/>
      <c r="V21" s="161"/>
      <c r="W21" s="161"/>
    </row>
    <row r="22" ht="15.75" customHeight="1">
      <c r="A22" s="182"/>
      <c r="B22" s="221" t="s">
        <v>198</v>
      </c>
      <c r="C22" s="176"/>
      <c r="D22" s="177"/>
      <c r="E22" s="184"/>
      <c r="F22" s="225" t="s">
        <v>199</v>
      </c>
      <c r="G22" s="225" t="s">
        <v>199</v>
      </c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6"/>
      <c r="U22" s="161"/>
      <c r="V22" s="161"/>
      <c r="W22" s="161"/>
    </row>
    <row r="23" ht="15.75" customHeight="1">
      <c r="A23" s="182"/>
      <c r="B23" s="221" t="s">
        <v>200</v>
      </c>
      <c r="C23" s="176"/>
      <c r="D23" s="177"/>
      <c r="E23" s="184"/>
      <c r="F23" s="227">
        <v>45970.0</v>
      </c>
      <c r="G23" s="227">
        <v>45970.0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9"/>
      <c r="U23" s="161"/>
      <c r="V23" s="161"/>
      <c r="W23" s="161"/>
    </row>
    <row r="24" ht="15.75" customHeight="1">
      <c r="A24" s="182"/>
      <c r="B24" s="230" t="s">
        <v>201</v>
      </c>
      <c r="C24" s="231"/>
      <c r="D24" s="232"/>
      <c r="E24" s="233"/>
      <c r="F24" s="217"/>
      <c r="G24" s="217"/>
      <c r="H24" s="217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5"/>
      <c r="T24" s="236"/>
      <c r="U24" s="161"/>
      <c r="V24" s="161"/>
      <c r="W24" s="161"/>
    </row>
    <row r="25" ht="15.75" customHeight="1">
      <c r="A25" s="161"/>
      <c r="B25" s="161"/>
      <c r="C25" s="161"/>
      <c r="D25" s="161"/>
      <c r="E25" s="169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ht="15.75" customHeight="1">
      <c r="A26" s="161"/>
      <c r="B26" s="161"/>
      <c r="C26" s="161"/>
      <c r="D26" s="161"/>
      <c r="E26" s="169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ht="15.75" customHeight="1">
      <c r="A27" s="161"/>
      <c r="B27" s="161"/>
      <c r="C27" s="161"/>
      <c r="D27" s="161"/>
      <c r="E27" s="169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</row>
    <row r="28" ht="15.75" customHeight="1">
      <c r="A28" s="161"/>
      <c r="B28" s="161"/>
      <c r="C28" s="161"/>
      <c r="D28" s="161"/>
      <c r="E28" s="169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161"/>
      <c r="V28" s="161"/>
      <c r="W28" s="161"/>
    </row>
    <row r="29" ht="15.75" customHeight="1">
      <c r="A29" s="161"/>
      <c r="B29" s="161"/>
      <c r="C29" s="161"/>
      <c r="D29" s="161"/>
      <c r="E29" s="169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</row>
    <row r="30" ht="15.75" customHeight="1">
      <c r="A30" s="161"/>
      <c r="B30" s="161"/>
      <c r="C30" s="161"/>
      <c r="D30" s="161"/>
      <c r="E30" s="169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ht="15.75" customHeight="1">
      <c r="A31" s="161"/>
      <c r="B31" s="161"/>
      <c r="C31" s="161"/>
      <c r="D31" s="161"/>
      <c r="E31" s="169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ht="15.75" customHeight="1">
      <c r="A32" s="161"/>
      <c r="B32" s="161"/>
      <c r="C32" s="161"/>
      <c r="D32" s="161"/>
      <c r="E32" s="169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ht="15.75" customHeight="1">
      <c r="A33" s="161"/>
      <c r="B33" s="161"/>
      <c r="C33" s="161"/>
      <c r="D33" s="161"/>
      <c r="E33" s="169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ht="15.75" customHeight="1">
      <c r="A34" s="161"/>
      <c r="B34" s="161"/>
      <c r="C34" s="161"/>
      <c r="D34" s="161"/>
      <c r="E34" s="169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ht="15.75" customHeight="1">
      <c r="A35" s="161"/>
      <c r="B35" s="161"/>
      <c r="C35" s="161"/>
      <c r="D35" s="161"/>
      <c r="E35" s="169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ht="15.75" customHeight="1">
      <c r="A36" s="161"/>
      <c r="B36" s="161"/>
      <c r="C36" s="161"/>
      <c r="D36" s="161"/>
      <c r="E36" s="169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ht="15.75" customHeight="1">
      <c r="A37" s="161"/>
      <c r="B37" s="161"/>
      <c r="C37" s="161"/>
      <c r="D37" s="161"/>
      <c r="E37" s="169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ht="15.75" customHeight="1">
      <c r="A38" s="161"/>
      <c r="B38" s="161"/>
      <c r="C38" s="161"/>
      <c r="D38" s="161"/>
      <c r="E38" s="169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ht="15.75" customHeight="1">
      <c r="A39" s="161"/>
      <c r="B39" s="161"/>
      <c r="C39" s="161"/>
      <c r="D39" s="161"/>
      <c r="E39" s="169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</row>
    <row r="40" ht="15.75" customHeight="1">
      <c r="A40" s="161"/>
      <c r="B40" s="161"/>
      <c r="C40" s="161"/>
      <c r="D40" s="161"/>
      <c r="E40" s="169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</row>
    <row r="41" ht="15.75" customHeight="1">
      <c r="A41" s="161"/>
      <c r="B41" s="161"/>
      <c r="C41" s="161"/>
      <c r="D41" s="161"/>
      <c r="E41" s="169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</row>
    <row r="42" ht="15.75" customHeight="1">
      <c r="A42" s="161"/>
      <c r="B42" s="161"/>
      <c r="C42" s="161"/>
      <c r="D42" s="161"/>
      <c r="E42" s="169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</row>
    <row r="43" ht="15.75" customHeight="1">
      <c r="A43" s="161"/>
      <c r="B43" s="161"/>
      <c r="C43" s="161"/>
      <c r="D43" s="161"/>
      <c r="E43" s="169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</row>
    <row r="44" ht="15.75" customHeight="1">
      <c r="A44" s="161"/>
      <c r="B44" s="161"/>
      <c r="C44" s="161"/>
      <c r="D44" s="161"/>
      <c r="E44" s="169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</row>
    <row r="45" ht="15.75" customHeight="1">
      <c r="A45" s="161"/>
      <c r="B45" s="161"/>
      <c r="C45" s="161"/>
      <c r="D45" s="161"/>
      <c r="E45" s="169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ht="15.75" customHeight="1">
      <c r="A46" s="161"/>
      <c r="B46" s="161"/>
      <c r="C46" s="161"/>
      <c r="D46" s="161"/>
      <c r="E46" s="169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ht="15.75" customHeight="1">
      <c r="A47" s="161"/>
      <c r="B47" s="161"/>
      <c r="C47" s="161"/>
      <c r="D47" s="161"/>
      <c r="E47" s="169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</row>
    <row r="48" ht="15.75" customHeight="1">
      <c r="A48" s="161"/>
      <c r="B48" s="161"/>
      <c r="C48" s="161"/>
      <c r="D48" s="161"/>
      <c r="E48" s="169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</row>
    <row r="49" ht="15.75" customHeight="1">
      <c r="A49" s="161"/>
      <c r="B49" s="161"/>
      <c r="C49" s="161"/>
      <c r="D49" s="161"/>
      <c r="E49" s="169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</row>
    <row r="50" ht="15.75" customHeight="1">
      <c r="A50" s="161"/>
      <c r="B50" s="161"/>
      <c r="C50" s="161"/>
      <c r="D50" s="161"/>
      <c r="E50" s="169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</row>
    <row r="51" ht="15.75" customHeight="1">
      <c r="A51" s="161"/>
      <c r="B51" s="161"/>
      <c r="C51" s="161"/>
      <c r="D51" s="161"/>
      <c r="E51" s="169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</row>
    <row r="52" ht="15.75" customHeight="1">
      <c r="A52" s="161"/>
      <c r="B52" s="161"/>
      <c r="C52" s="161"/>
      <c r="D52" s="161"/>
      <c r="E52" s="169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</row>
    <row r="53" ht="15.75" customHeight="1">
      <c r="A53" s="161"/>
      <c r="B53" s="161"/>
      <c r="C53" s="161"/>
      <c r="D53" s="161"/>
      <c r="E53" s="169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</row>
    <row r="54" ht="15.75" customHeight="1">
      <c r="A54" s="161"/>
      <c r="B54" s="161"/>
      <c r="C54" s="161"/>
      <c r="D54" s="161"/>
      <c r="E54" s="169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</row>
    <row r="55" ht="15.75" customHeight="1">
      <c r="A55" s="161"/>
      <c r="B55" s="161"/>
      <c r="C55" s="161"/>
      <c r="D55" s="161"/>
      <c r="E55" s="169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</row>
    <row r="56" ht="15.75" customHeight="1">
      <c r="A56" s="161"/>
      <c r="B56" s="161"/>
      <c r="C56" s="161"/>
      <c r="D56" s="161"/>
      <c r="E56" s="169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</row>
    <row r="57" ht="15.75" customHeight="1">
      <c r="A57" s="161"/>
      <c r="B57" s="161"/>
      <c r="C57" s="161"/>
      <c r="D57" s="161"/>
      <c r="E57" s="169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ht="15.75" customHeight="1">
      <c r="A58" s="161"/>
      <c r="B58" s="161"/>
      <c r="C58" s="161"/>
      <c r="D58" s="161"/>
      <c r="E58" s="169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</row>
    <row r="59" ht="15.75" customHeight="1">
      <c r="A59" s="161"/>
      <c r="B59" s="161"/>
      <c r="C59" s="161"/>
      <c r="D59" s="161"/>
      <c r="E59" s="169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</row>
    <row r="60" ht="15.75" customHeight="1">
      <c r="A60" s="161"/>
      <c r="B60" s="161"/>
      <c r="C60" s="161"/>
      <c r="D60" s="161"/>
      <c r="E60" s="169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</row>
    <row r="61" ht="15.75" customHeight="1">
      <c r="A61" s="161"/>
      <c r="B61" s="161"/>
      <c r="C61" s="161"/>
      <c r="D61" s="161"/>
      <c r="E61" s="169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</row>
    <row r="62" ht="15.75" customHeight="1">
      <c r="A62" s="161"/>
      <c r="B62" s="161"/>
      <c r="C62" s="161"/>
      <c r="D62" s="161"/>
      <c r="E62" s="169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</row>
    <row r="63" ht="15.75" customHeight="1">
      <c r="A63" s="161"/>
      <c r="B63" s="161"/>
      <c r="C63" s="161"/>
      <c r="D63" s="161"/>
      <c r="E63" s="169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</row>
    <row r="64" ht="15.75" customHeight="1">
      <c r="A64" s="161"/>
      <c r="B64" s="161"/>
      <c r="C64" s="161"/>
      <c r="D64" s="161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</row>
    <row r="65" ht="15.75" customHeight="1">
      <c r="A65" s="161"/>
      <c r="B65" s="161"/>
      <c r="C65" s="161"/>
      <c r="D65" s="161"/>
      <c r="E65" s="169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</row>
    <row r="66" ht="15.75" customHeight="1">
      <c r="A66" s="161"/>
      <c r="B66" s="161"/>
      <c r="C66" s="161"/>
      <c r="D66" s="161"/>
      <c r="E66" s="169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</row>
    <row r="67" ht="15.75" customHeight="1">
      <c r="A67" s="161"/>
      <c r="B67" s="161"/>
      <c r="C67" s="161"/>
      <c r="D67" s="161"/>
      <c r="E67" s="169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</row>
    <row r="68" ht="15.75" customHeight="1">
      <c r="A68" s="161"/>
      <c r="B68" s="161"/>
      <c r="C68" s="161"/>
      <c r="D68" s="161"/>
      <c r="E68" s="169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</row>
    <row r="69" ht="15.75" customHeight="1">
      <c r="A69" s="161"/>
      <c r="B69" s="161"/>
      <c r="C69" s="161"/>
      <c r="D69" s="161"/>
      <c r="E69" s="169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</row>
    <row r="70" ht="15.75" customHeight="1">
      <c r="A70" s="161"/>
      <c r="B70" s="161"/>
      <c r="C70" s="161"/>
      <c r="D70" s="161"/>
      <c r="E70" s="169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</row>
    <row r="71" ht="15.75" customHeight="1">
      <c r="A71" s="161"/>
      <c r="B71" s="161"/>
      <c r="C71" s="161"/>
      <c r="D71" s="161"/>
      <c r="E71" s="169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</row>
    <row r="72" ht="15.75" customHeight="1">
      <c r="A72" s="161"/>
      <c r="B72" s="161"/>
      <c r="C72" s="161"/>
      <c r="D72" s="161"/>
      <c r="E72" s="169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</row>
    <row r="73" ht="15.75" customHeight="1">
      <c r="A73" s="161"/>
      <c r="B73" s="161"/>
      <c r="C73" s="161"/>
      <c r="D73" s="161"/>
      <c r="E73" s="169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</row>
    <row r="74" ht="15.75" customHeight="1">
      <c r="A74" s="161"/>
      <c r="B74" s="161"/>
      <c r="C74" s="161"/>
      <c r="D74" s="161"/>
      <c r="E74" s="169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</row>
    <row r="75" ht="15.75" customHeight="1">
      <c r="A75" s="161"/>
      <c r="B75" s="161"/>
      <c r="C75" s="161"/>
      <c r="D75" s="161"/>
      <c r="E75" s="169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</row>
    <row r="76" ht="15.75" customHeight="1">
      <c r="A76" s="161"/>
      <c r="B76" s="161"/>
      <c r="C76" s="161"/>
      <c r="D76" s="161"/>
      <c r="E76" s="169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</row>
    <row r="77" ht="15.75" customHeight="1">
      <c r="A77" s="161"/>
      <c r="B77" s="161"/>
      <c r="C77" s="161"/>
      <c r="D77" s="161"/>
      <c r="E77" s="169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</row>
    <row r="78" ht="15.75" customHeight="1">
      <c r="A78" s="161"/>
      <c r="B78" s="161"/>
      <c r="C78" s="161"/>
      <c r="D78" s="161"/>
      <c r="E78" s="169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</row>
    <row r="79" ht="15.75" customHeight="1">
      <c r="A79" s="161"/>
      <c r="B79" s="161"/>
      <c r="C79" s="161"/>
      <c r="D79" s="161"/>
      <c r="E79" s="169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</row>
    <row r="80" ht="15.75" customHeight="1">
      <c r="A80" s="161"/>
      <c r="B80" s="161"/>
      <c r="C80" s="161"/>
      <c r="D80" s="161"/>
      <c r="E80" s="169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</row>
    <row r="81" ht="15.75" customHeight="1">
      <c r="A81" s="161"/>
      <c r="B81" s="161"/>
      <c r="C81" s="161"/>
      <c r="D81" s="161"/>
      <c r="E81" s="169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</row>
    <row r="82" ht="15.75" customHeight="1">
      <c r="A82" s="161"/>
      <c r="B82" s="161"/>
      <c r="C82" s="161"/>
      <c r="D82" s="161"/>
      <c r="E82" s="169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</row>
    <row r="83" ht="15.75" customHeight="1">
      <c r="A83" s="161"/>
      <c r="B83" s="161"/>
      <c r="C83" s="161"/>
      <c r="D83" s="161"/>
      <c r="E83" s="169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</row>
    <row r="84" ht="15.75" customHeight="1">
      <c r="A84" s="161"/>
      <c r="B84" s="161"/>
      <c r="C84" s="161"/>
      <c r="D84" s="161"/>
      <c r="E84" s="169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</row>
    <row r="85" ht="15.75" customHeight="1">
      <c r="A85" s="161"/>
      <c r="B85" s="161"/>
      <c r="C85" s="161"/>
      <c r="D85" s="161"/>
      <c r="E85" s="169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</row>
    <row r="86" ht="15.75" customHeight="1">
      <c r="A86" s="161"/>
      <c r="B86" s="161"/>
      <c r="C86" s="161"/>
      <c r="D86" s="161"/>
      <c r="E86" s="169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</row>
    <row r="87" ht="15.75" customHeight="1">
      <c r="A87" s="161"/>
      <c r="B87" s="161"/>
      <c r="C87" s="161"/>
      <c r="D87" s="161"/>
      <c r="E87" s="169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</row>
    <row r="88" ht="15.75" customHeight="1">
      <c r="A88" s="161"/>
      <c r="B88" s="161"/>
      <c r="C88" s="161"/>
      <c r="D88" s="161"/>
      <c r="E88" s="169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</row>
    <row r="89" ht="15.75" customHeight="1">
      <c r="A89" s="161"/>
      <c r="B89" s="161"/>
      <c r="C89" s="161"/>
      <c r="D89" s="161"/>
      <c r="E89" s="169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</row>
    <row r="90" ht="15.75" customHeight="1">
      <c r="A90" s="161"/>
      <c r="B90" s="161"/>
      <c r="C90" s="161"/>
      <c r="D90" s="161"/>
      <c r="E90" s="169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</row>
    <row r="91" ht="15.75" customHeight="1">
      <c r="A91" s="161"/>
      <c r="B91" s="161"/>
      <c r="C91" s="161"/>
      <c r="D91" s="161"/>
      <c r="E91" s="169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</row>
    <row r="92" ht="15.75" customHeight="1">
      <c r="A92" s="161"/>
      <c r="B92" s="161"/>
      <c r="C92" s="161"/>
      <c r="D92" s="161"/>
      <c r="E92" s="169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</row>
    <row r="93" ht="15.75" customHeight="1">
      <c r="A93" s="161"/>
      <c r="B93" s="161"/>
      <c r="C93" s="161"/>
      <c r="D93" s="161"/>
      <c r="E93" s="169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</row>
    <row r="94" ht="15.75" customHeight="1">
      <c r="A94" s="161"/>
      <c r="B94" s="161"/>
      <c r="C94" s="161"/>
      <c r="D94" s="161"/>
      <c r="E94" s="169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</row>
    <row r="95" ht="15.75" customHeight="1">
      <c r="A95" s="161"/>
      <c r="B95" s="161"/>
      <c r="C95" s="161"/>
      <c r="D95" s="161"/>
      <c r="E95" s="169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</row>
    <row r="96" ht="15.75" customHeight="1">
      <c r="A96" s="161"/>
      <c r="B96" s="161"/>
      <c r="C96" s="161"/>
      <c r="D96" s="161"/>
      <c r="E96" s="169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</row>
    <row r="97" ht="15.75" customHeight="1">
      <c r="A97" s="161"/>
      <c r="B97" s="161"/>
      <c r="C97" s="161"/>
      <c r="D97" s="161"/>
      <c r="E97" s="169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</row>
    <row r="98" ht="15.75" customHeight="1">
      <c r="A98" s="161"/>
      <c r="B98" s="161"/>
      <c r="C98" s="161"/>
      <c r="D98" s="161"/>
      <c r="E98" s="169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</row>
    <row r="99" ht="15.75" customHeight="1">
      <c r="A99" s="161"/>
      <c r="B99" s="161"/>
      <c r="C99" s="161"/>
      <c r="D99" s="161"/>
      <c r="E99" s="169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</row>
    <row r="100" ht="15.75" customHeight="1">
      <c r="A100" s="161"/>
      <c r="B100" s="161"/>
      <c r="C100" s="161"/>
      <c r="D100" s="161"/>
      <c r="E100" s="169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</row>
    <row r="101" ht="15.75" customHeight="1">
      <c r="A101" s="161"/>
      <c r="B101" s="161"/>
      <c r="C101" s="161"/>
      <c r="D101" s="161"/>
      <c r="E101" s="169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</row>
    <row r="102" ht="15.75" customHeight="1">
      <c r="A102" s="161"/>
      <c r="B102" s="161"/>
      <c r="C102" s="161"/>
      <c r="D102" s="161"/>
      <c r="E102" s="169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</row>
    <row r="103" ht="15.75" customHeight="1">
      <c r="A103" s="161"/>
      <c r="B103" s="161"/>
      <c r="C103" s="161"/>
      <c r="D103" s="161"/>
      <c r="E103" s="169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</row>
    <row r="104" ht="15.75" customHeight="1">
      <c r="A104" s="161"/>
      <c r="B104" s="161"/>
      <c r="C104" s="161"/>
      <c r="D104" s="161"/>
      <c r="E104" s="169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</row>
    <row r="105" ht="15.75" customHeight="1">
      <c r="A105" s="161"/>
      <c r="B105" s="161"/>
      <c r="C105" s="161"/>
      <c r="D105" s="161"/>
      <c r="E105" s="169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</row>
    <row r="106" ht="15.75" customHeight="1">
      <c r="A106" s="161"/>
      <c r="B106" s="161"/>
      <c r="C106" s="161"/>
      <c r="D106" s="161"/>
      <c r="E106" s="169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</row>
    <row r="107" ht="15.75" customHeight="1">
      <c r="A107" s="161"/>
      <c r="B107" s="161"/>
      <c r="C107" s="161"/>
      <c r="D107" s="161"/>
      <c r="E107" s="169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</row>
    <row r="108" ht="15.75" customHeight="1">
      <c r="A108" s="161"/>
      <c r="B108" s="161"/>
      <c r="C108" s="161"/>
      <c r="D108" s="161"/>
      <c r="E108" s="169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</row>
    <row r="109" ht="15.75" customHeight="1">
      <c r="A109" s="161"/>
      <c r="B109" s="161"/>
      <c r="C109" s="161"/>
      <c r="D109" s="161"/>
      <c r="E109" s="169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</row>
    <row r="110" ht="15.75" customHeight="1">
      <c r="A110" s="161"/>
      <c r="B110" s="161"/>
      <c r="C110" s="161"/>
      <c r="D110" s="161"/>
      <c r="E110" s="169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</row>
    <row r="111" ht="15.75" customHeight="1">
      <c r="A111" s="161"/>
      <c r="B111" s="161"/>
      <c r="C111" s="161"/>
      <c r="D111" s="161"/>
      <c r="E111" s="169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</row>
    <row r="112" ht="15.75" customHeight="1">
      <c r="A112" s="161"/>
      <c r="B112" s="161"/>
      <c r="C112" s="161"/>
      <c r="D112" s="161"/>
      <c r="E112" s="169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</row>
    <row r="113" ht="15.75" customHeight="1">
      <c r="A113" s="161"/>
      <c r="B113" s="161"/>
      <c r="C113" s="161"/>
      <c r="D113" s="161"/>
      <c r="E113" s="169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</row>
    <row r="114" ht="15.75" customHeight="1">
      <c r="A114" s="161"/>
      <c r="B114" s="161"/>
      <c r="C114" s="161"/>
      <c r="D114" s="161"/>
      <c r="E114" s="169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</row>
    <row r="115" ht="15.75" customHeight="1">
      <c r="A115" s="161"/>
      <c r="B115" s="161"/>
      <c r="C115" s="161"/>
      <c r="D115" s="161"/>
      <c r="E115" s="169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</row>
    <row r="116" ht="15.75" customHeight="1">
      <c r="A116" s="161"/>
      <c r="B116" s="161"/>
      <c r="C116" s="161"/>
      <c r="D116" s="161"/>
      <c r="E116" s="169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</row>
    <row r="117" ht="15.75" customHeight="1">
      <c r="A117" s="161"/>
      <c r="B117" s="161"/>
      <c r="C117" s="161"/>
      <c r="D117" s="161"/>
      <c r="E117" s="169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</row>
    <row r="118" ht="15.75" customHeight="1">
      <c r="A118" s="161"/>
      <c r="B118" s="161"/>
      <c r="C118" s="161"/>
      <c r="D118" s="161"/>
      <c r="E118" s="169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</row>
    <row r="119" ht="15.75" customHeight="1">
      <c r="A119" s="161"/>
      <c r="B119" s="161"/>
      <c r="C119" s="161"/>
      <c r="D119" s="161"/>
      <c r="E119" s="169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</row>
    <row r="120" ht="15.75" customHeight="1">
      <c r="A120" s="161"/>
      <c r="B120" s="161"/>
      <c r="C120" s="161"/>
      <c r="D120" s="161"/>
      <c r="E120" s="169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</row>
    <row r="121" ht="15.75" customHeight="1">
      <c r="A121" s="161"/>
      <c r="B121" s="161"/>
      <c r="C121" s="161"/>
      <c r="D121" s="161"/>
      <c r="E121" s="169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</row>
    <row r="122" ht="15.75" customHeight="1">
      <c r="A122" s="161"/>
      <c r="B122" s="161"/>
      <c r="C122" s="161"/>
      <c r="D122" s="161"/>
      <c r="E122" s="169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</row>
    <row r="123" ht="15.75" customHeight="1">
      <c r="A123" s="161"/>
      <c r="B123" s="161"/>
      <c r="C123" s="161"/>
      <c r="D123" s="161"/>
      <c r="E123" s="169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</row>
    <row r="124" ht="15.75" customHeight="1">
      <c r="A124" s="161"/>
      <c r="B124" s="161"/>
      <c r="C124" s="161"/>
      <c r="D124" s="161"/>
      <c r="E124" s="169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</row>
    <row r="125" ht="15.75" customHeight="1">
      <c r="A125" s="161"/>
      <c r="B125" s="161"/>
      <c r="C125" s="161"/>
      <c r="D125" s="161"/>
      <c r="E125" s="169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</row>
    <row r="126" ht="15.75" customHeight="1">
      <c r="A126" s="161"/>
      <c r="B126" s="161"/>
      <c r="C126" s="161"/>
      <c r="D126" s="161"/>
      <c r="E126" s="169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</row>
    <row r="127" ht="15.75" customHeight="1">
      <c r="A127" s="161"/>
      <c r="B127" s="161"/>
      <c r="C127" s="161"/>
      <c r="D127" s="161"/>
      <c r="E127" s="169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</row>
    <row r="128" ht="15.75" customHeight="1">
      <c r="A128" s="161"/>
      <c r="B128" s="161"/>
      <c r="C128" s="161"/>
      <c r="D128" s="161"/>
      <c r="E128" s="169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</row>
    <row r="129" ht="15.75" customHeight="1">
      <c r="A129" s="161"/>
      <c r="B129" s="161"/>
      <c r="C129" s="161"/>
      <c r="D129" s="161"/>
      <c r="E129" s="169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</row>
    <row r="130" ht="15.75" customHeight="1">
      <c r="A130" s="161"/>
      <c r="B130" s="161"/>
      <c r="C130" s="161"/>
      <c r="D130" s="161"/>
      <c r="E130" s="169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</row>
    <row r="131" ht="15.75" customHeight="1">
      <c r="A131" s="161"/>
      <c r="B131" s="161"/>
      <c r="C131" s="161"/>
      <c r="D131" s="161"/>
      <c r="E131" s="169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</row>
    <row r="132" ht="15.75" customHeight="1">
      <c r="A132" s="161"/>
      <c r="B132" s="161"/>
      <c r="C132" s="161"/>
      <c r="D132" s="161"/>
      <c r="E132" s="169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</row>
    <row r="133" ht="15.75" customHeight="1">
      <c r="A133" s="161"/>
      <c r="B133" s="161"/>
      <c r="C133" s="161"/>
      <c r="D133" s="161"/>
      <c r="E133" s="169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</row>
    <row r="134" ht="15.75" customHeight="1">
      <c r="A134" s="161"/>
      <c r="B134" s="161"/>
      <c r="C134" s="161"/>
      <c r="D134" s="161"/>
      <c r="E134" s="169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</row>
    <row r="135" ht="15.75" customHeight="1">
      <c r="A135" s="161"/>
      <c r="B135" s="161"/>
      <c r="C135" s="161"/>
      <c r="D135" s="161"/>
      <c r="E135" s="169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</row>
    <row r="136" ht="15.75" customHeight="1">
      <c r="A136" s="161"/>
      <c r="B136" s="161"/>
      <c r="C136" s="161"/>
      <c r="D136" s="161"/>
      <c r="E136" s="169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</row>
    <row r="137" ht="15.75" customHeight="1">
      <c r="A137" s="161"/>
      <c r="B137" s="161"/>
      <c r="C137" s="161"/>
      <c r="D137" s="161"/>
      <c r="E137" s="169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</row>
    <row r="138" ht="15.75" customHeight="1">
      <c r="A138" s="161"/>
      <c r="B138" s="161"/>
      <c r="C138" s="161"/>
      <c r="D138" s="161"/>
      <c r="E138" s="169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</row>
    <row r="139" ht="15.75" customHeight="1">
      <c r="A139" s="161"/>
      <c r="B139" s="161"/>
      <c r="C139" s="161"/>
      <c r="D139" s="161"/>
      <c r="E139" s="169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</row>
    <row r="140" ht="15.75" customHeight="1">
      <c r="A140" s="161"/>
      <c r="B140" s="161"/>
      <c r="C140" s="161"/>
      <c r="D140" s="161"/>
      <c r="E140" s="169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</row>
    <row r="141" ht="15.75" customHeight="1">
      <c r="A141" s="161"/>
      <c r="B141" s="161"/>
      <c r="C141" s="161"/>
      <c r="D141" s="161"/>
      <c r="E141" s="169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</row>
    <row r="142" ht="15.75" customHeight="1">
      <c r="A142" s="161"/>
      <c r="B142" s="161"/>
      <c r="C142" s="161"/>
      <c r="D142" s="161"/>
      <c r="E142" s="169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</row>
    <row r="143" ht="15.75" customHeight="1">
      <c r="A143" s="161"/>
      <c r="B143" s="161"/>
      <c r="C143" s="161"/>
      <c r="D143" s="161"/>
      <c r="E143" s="169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</row>
    <row r="144" ht="15.75" customHeight="1">
      <c r="A144" s="161"/>
      <c r="B144" s="161"/>
      <c r="C144" s="161"/>
      <c r="D144" s="161"/>
      <c r="E144" s="169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</row>
    <row r="145" ht="15.75" customHeight="1">
      <c r="A145" s="161"/>
      <c r="B145" s="161"/>
      <c r="C145" s="161"/>
      <c r="D145" s="161"/>
      <c r="E145" s="169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</row>
    <row r="146" ht="15.75" customHeight="1">
      <c r="A146" s="161"/>
      <c r="B146" s="161"/>
      <c r="C146" s="161"/>
      <c r="D146" s="161"/>
      <c r="E146" s="169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</row>
    <row r="147" ht="15.75" customHeight="1">
      <c r="A147" s="161"/>
      <c r="B147" s="161"/>
      <c r="C147" s="161"/>
      <c r="D147" s="161"/>
      <c r="E147" s="169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</row>
    <row r="148" ht="15.75" customHeight="1">
      <c r="A148" s="161"/>
      <c r="B148" s="161"/>
      <c r="C148" s="161"/>
      <c r="D148" s="161"/>
      <c r="E148" s="169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</row>
    <row r="149" ht="15.75" customHeight="1">
      <c r="A149" s="161"/>
      <c r="B149" s="161"/>
      <c r="C149" s="161"/>
      <c r="D149" s="161"/>
      <c r="E149" s="169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</row>
    <row r="150" ht="15.75" customHeight="1">
      <c r="A150" s="161"/>
      <c r="B150" s="161"/>
      <c r="C150" s="161"/>
      <c r="D150" s="161"/>
      <c r="E150" s="169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</row>
    <row r="151" ht="15.75" customHeight="1">
      <c r="A151" s="161"/>
      <c r="B151" s="161"/>
      <c r="C151" s="161"/>
      <c r="D151" s="161"/>
      <c r="E151" s="169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</row>
    <row r="152" ht="15.75" customHeight="1">
      <c r="A152" s="161"/>
      <c r="B152" s="161"/>
      <c r="C152" s="161"/>
      <c r="D152" s="161"/>
      <c r="E152" s="169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</row>
    <row r="153" ht="15.75" customHeight="1">
      <c r="A153" s="161"/>
      <c r="B153" s="161"/>
      <c r="C153" s="161"/>
      <c r="D153" s="161"/>
      <c r="E153" s="169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</row>
    <row r="154" ht="15.75" customHeight="1">
      <c r="A154" s="161"/>
      <c r="B154" s="161"/>
      <c r="C154" s="161"/>
      <c r="D154" s="161"/>
      <c r="E154" s="169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</row>
    <row r="155" ht="15.75" customHeight="1">
      <c r="A155" s="161"/>
      <c r="B155" s="161"/>
      <c r="C155" s="161"/>
      <c r="D155" s="161"/>
      <c r="E155" s="169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</row>
    <row r="156" ht="15.75" customHeight="1">
      <c r="A156" s="161"/>
      <c r="B156" s="161"/>
      <c r="C156" s="161"/>
      <c r="D156" s="161"/>
      <c r="E156" s="169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</row>
    <row r="157" ht="15.75" customHeight="1">
      <c r="A157" s="161"/>
      <c r="B157" s="161"/>
      <c r="C157" s="161"/>
      <c r="D157" s="161"/>
      <c r="E157" s="169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</row>
    <row r="158" ht="15.75" customHeight="1">
      <c r="A158" s="161"/>
      <c r="B158" s="161"/>
      <c r="C158" s="161"/>
      <c r="D158" s="161"/>
      <c r="E158" s="169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</row>
    <row r="159" ht="15.75" customHeight="1">
      <c r="A159" s="161"/>
      <c r="B159" s="161"/>
      <c r="C159" s="161"/>
      <c r="D159" s="161"/>
      <c r="E159" s="169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</row>
    <row r="160" ht="15.75" customHeight="1">
      <c r="A160" s="161"/>
      <c r="B160" s="161"/>
      <c r="C160" s="161"/>
      <c r="D160" s="161"/>
      <c r="E160" s="169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</row>
    <row r="161" ht="15.75" customHeight="1">
      <c r="A161" s="161"/>
      <c r="B161" s="161"/>
      <c r="C161" s="161"/>
      <c r="D161" s="161"/>
      <c r="E161" s="169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</row>
    <row r="162" ht="15.75" customHeight="1">
      <c r="A162" s="161"/>
      <c r="B162" s="161"/>
      <c r="C162" s="161"/>
      <c r="D162" s="161"/>
      <c r="E162" s="169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</row>
    <row r="163" ht="15.75" customHeight="1">
      <c r="A163" s="161"/>
      <c r="B163" s="161"/>
      <c r="C163" s="161"/>
      <c r="D163" s="161"/>
      <c r="E163" s="169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</row>
    <row r="164" ht="15.75" customHeight="1">
      <c r="A164" s="161"/>
      <c r="B164" s="161"/>
      <c r="C164" s="161"/>
      <c r="D164" s="161"/>
      <c r="E164" s="169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</row>
    <row r="165" ht="15.75" customHeight="1">
      <c r="A165" s="161"/>
      <c r="B165" s="161"/>
      <c r="C165" s="161"/>
      <c r="D165" s="161"/>
      <c r="E165" s="169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</row>
    <row r="166" ht="15.75" customHeight="1">
      <c r="A166" s="161"/>
      <c r="B166" s="161"/>
      <c r="C166" s="161"/>
      <c r="D166" s="161"/>
      <c r="E166" s="169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</row>
    <row r="167" ht="15.75" customHeight="1">
      <c r="A167" s="161"/>
      <c r="B167" s="161"/>
      <c r="C167" s="161"/>
      <c r="D167" s="161"/>
      <c r="E167" s="169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</row>
    <row r="168" ht="15.75" customHeight="1">
      <c r="A168" s="161"/>
      <c r="B168" s="161"/>
      <c r="C168" s="161"/>
      <c r="D168" s="161"/>
      <c r="E168" s="169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</row>
    <row r="169" ht="15.75" customHeight="1">
      <c r="A169" s="161"/>
      <c r="B169" s="161"/>
      <c r="C169" s="161"/>
      <c r="D169" s="161"/>
      <c r="E169" s="169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</row>
    <row r="170" ht="15.75" customHeight="1">
      <c r="A170" s="161"/>
      <c r="B170" s="161"/>
      <c r="C170" s="161"/>
      <c r="D170" s="161"/>
      <c r="E170" s="169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</row>
    <row r="171" ht="15.75" customHeight="1">
      <c r="A171" s="161"/>
      <c r="B171" s="161"/>
      <c r="C171" s="161"/>
      <c r="D171" s="161"/>
      <c r="E171" s="169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</row>
    <row r="172" ht="15.75" customHeight="1">
      <c r="A172" s="161"/>
      <c r="B172" s="161"/>
      <c r="C172" s="161"/>
      <c r="D172" s="161"/>
      <c r="E172" s="169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</row>
    <row r="173" ht="15.75" customHeight="1">
      <c r="A173" s="161"/>
      <c r="B173" s="161"/>
      <c r="C173" s="161"/>
      <c r="D173" s="161"/>
      <c r="E173" s="169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</row>
    <row r="174" ht="15.75" customHeight="1">
      <c r="A174" s="161"/>
      <c r="B174" s="161"/>
      <c r="C174" s="161"/>
      <c r="D174" s="161"/>
      <c r="E174" s="169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</row>
    <row r="175" ht="15.75" customHeight="1">
      <c r="A175" s="161"/>
      <c r="B175" s="161"/>
      <c r="C175" s="161"/>
      <c r="D175" s="161"/>
      <c r="E175" s="169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</row>
    <row r="176" ht="15.75" customHeight="1">
      <c r="A176" s="161"/>
      <c r="B176" s="161"/>
      <c r="C176" s="161"/>
      <c r="D176" s="161"/>
      <c r="E176" s="169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</row>
    <row r="177" ht="15.75" customHeight="1">
      <c r="A177" s="161"/>
      <c r="B177" s="161"/>
      <c r="C177" s="161"/>
      <c r="D177" s="161"/>
      <c r="E177" s="169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</row>
    <row r="178" ht="15.75" customHeight="1">
      <c r="A178" s="161"/>
      <c r="B178" s="161"/>
      <c r="C178" s="161"/>
      <c r="D178" s="161"/>
      <c r="E178" s="169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</row>
    <row r="179" ht="15.75" customHeight="1">
      <c r="A179" s="161"/>
      <c r="B179" s="161"/>
      <c r="C179" s="161"/>
      <c r="D179" s="161"/>
      <c r="E179" s="169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</row>
    <row r="180" ht="15.75" customHeight="1">
      <c r="A180" s="161"/>
      <c r="B180" s="161"/>
      <c r="C180" s="161"/>
      <c r="D180" s="161"/>
      <c r="E180" s="169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</row>
    <row r="181" ht="15.75" customHeight="1">
      <c r="A181" s="161"/>
      <c r="B181" s="161"/>
      <c r="C181" s="161"/>
      <c r="D181" s="161"/>
      <c r="E181" s="169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</row>
    <row r="182" ht="15.75" customHeight="1">
      <c r="A182" s="161"/>
      <c r="B182" s="161"/>
      <c r="C182" s="161"/>
      <c r="D182" s="161"/>
      <c r="E182" s="169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</row>
    <row r="183" ht="15.75" customHeight="1">
      <c r="A183" s="161"/>
      <c r="B183" s="161"/>
      <c r="C183" s="161"/>
      <c r="D183" s="161"/>
      <c r="E183" s="169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</row>
    <row r="184" ht="15.75" customHeight="1">
      <c r="A184" s="161"/>
      <c r="B184" s="161"/>
      <c r="C184" s="161"/>
      <c r="D184" s="161"/>
      <c r="E184" s="169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</row>
    <row r="185" ht="15.75" customHeight="1">
      <c r="A185" s="161"/>
      <c r="B185" s="161"/>
      <c r="C185" s="161"/>
      <c r="D185" s="161"/>
      <c r="E185" s="169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</row>
    <row r="186" ht="15.75" customHeight="1">
      <c r="A186" s="161"/>
      <c r="B186" s="161"/>
      <c r="C186" s="161"/>
      <c r="D186" s="161"/>
      <c r="E186" s="169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</row>
    <row r="187" ht="15.75" customHeight="1">
      <c r="A187" s="161"/>
      <c r="B187" s="161"/>
      <c r="C187" s="161"/>
      <c r="D187" s="161"/>
      <c r="E187" s="169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</row>
    <row r="188" ht="15.75" customHeight="1">
      <c r="A188" s="161"/>
      <c r="B188" s="161"/>
      <c r="C188" s="161"/>
      <c r="D188" s="161"/>
      <c r="E188" s="169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</row>
    <row r="189" ht="15.75" customHeight="1">
      <c r="A189" s="161"/>
      <c r="B189" s="161"/>
      <c r="C189" s="161"/>
      <c r="D189" s="161"/>
      <c r="E189" s="169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</row>
    <row r="190" ht="15.75" customHeight="1">
      <c r="A190" s="161"/>
      <c r="B190" s="161"/>
      <c r="C190" s="161"/>
      <c r="D190" s="161"/>
      <c r="E190" s="169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</row>
    <row r="191" ht="15.75" customHeight="1">
      <c r="A191" s="161"/>
      <c r="B191" s="161"/>
      <c r="C191" s="161"/>
      <c r="D191" s="161"/>
      <c r="E191" s="169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</row>
    <row r="192" ht="15.75" customHeight="1">
      <c r="A192" s="161"/>
      <c r="B192" s="161"/>
      <c r="C192" s="161"/>
      <c r="D192" s="161"/>
      <c r="E192" s="169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</row>
    <row r="193" ht="15.75" customHeight="1">
      <c r="A193" s="161"/>
      <c r="B193" s="161"/>
      <c r="C193" s="161"/>
      <c r="D193" s="161"/>
      <c r="E193" s="169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</row>
    <row r="194" ht="15.75" customHeight="1">
      <c r="A194" s="161"/>
      <c r="B194" s="161"/>
      <c r="C194" s="161"/>
      <c r="D194" s="161"/>
      <c r="E194" s="169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</row>
    <row r="195" ht="15.75" customHeight="1">
      <c r="A195" s="161"/>
      <c r="B195" s="161"/>
      <c r="C195" s="161"/>
      <c r="D195" s="161"/>
      <c r="E195" s="169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</row>
    <row r="196" ht="15.75" customHeight="1">
      <c r="A196" s="161"/>
      <c r="B196" s="161"/>
      <c r="C196" s="161"/>
      <c r="D196" s="161"/>
      <c r="E196" s="169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</row>
    <row r="197" ht="15.75" customHeight="1">
      <c r="A197" s="161"/>
      <c r="B197" s="161"/>
      <c r="C197" s="161"/>
      <c r="D197" s="161"/>
      <c r="E197" s="169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</row>
    <row r="198" ht="15.75" customHeight="1">
      <c r="A198" s="161"/>
      <c r="B198" s="161"/>
      <c r="C198" s="161"/>
      <c r="D198" s="161"/>
      <c r="E198" s="169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</row>
    <row r="199" ht="15.75" customHeight="1">
      <c r="A199" s="161"/>
      <c r="B199" s="161"/>
      <c r="C199" s="161"/>
      <c r="D199" s="161"/>
      <c r="E199" s="169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</row>
    <row r="200" ht="15.75" customHeight="1">
      <c r="A200" s="161"/>
      <c r="B200" s="161"/>
      <c r="C200" s="161"/>
      <c r="D200" s="161"/>
      <c r="E200" s="169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</row>
    <row r="201" ht="15.75" customHeight="1">
      <c r="A201" s="161"/>
      <c r="B201" s="161"/>
      <c r="C201" s="161"/>
      <c r="D201" s="161"/>
      <c r="E201" s="169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</row>
    <row r="202" ht="15.75" customHeight="1">
      <c r="A202" s="161"/>
      <c r="B202" s="161"/>
      <c r="C202" s="161"/>
      <c r="D202" s="161"/>
      <c r="E202" s="169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</row>
    <row r="203" ht="15.75" customHeight="1">
      <c r="A203" s="161"/>
      <c r="B203" s="161"/>
      <c r="C203" s="161"/>
      <c r="D203" s="161"/>
      <c r="E203" s="169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</row>
    <row r="204" ht="15.75" customHeight="1">
      <c r="A204" s="161"/>
      <c r="B204" s="161"/>
      <c r="C204" s="161"/>
      <c r="D204" s="161"/>
      <c r="E204" s="169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</row>
    <row r="205" ht="15.75" customHeight="1">
      <c r="A205" s="161"/>
      <c r="B205" s="161"/>
      <c r="C205" s="161"/>
      <c r="D205" s="161"/>
      <c r="E205" s="169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</row>
    <row r="206" ht="15.75" customHeight="1">
      <c r="A206" s="161"/>
      <c r="B206" s="161"/>
      <c r="C206" s="161"/>
      <c r="D206" s="161"/>
      <c r="E206" s="169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</row>
    <row r="207" ht="15.75" customHeight="1">
      <c r="A207" s="161"/>
      <c r="B207" s="161"/>
      <c r="C207" s="161"/>
      <c r="D207" s="161"/>
      <c r="E207" s="169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</row>
    <row r="208" ht="15.75" customHeight="1">
      <c r="A208" s="161"/>
      <c r="B208" s="161"/>
      <c r="C208" s="161"/>
      <c r="D208" s="161"/>
      <c r="E208" s="169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</row>
    <row r="209" ht="15.75" customHeight="1">
      <c r="A209" s="161"/>
      <c r="B209" s="161"/>
      <c r="C209" s="161"/>
      <c r="D209" s="161"/>
      <c r="E209" s="169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</row>
    <row r="210" ht="15.75" customHeight="1">
      <c r="A210" s="161"/>
      <c r="B210" s="161"/>
      <c r="C210" s="161"/>
      <c r="D210" s="161"/>
      <c r="E210" s="169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</row>
    <row r="211" ht="15.75" customHeight="1">
      <c r="A211" s="161"/>
      <c r="B211" s="161"/>
      <c r="C211" s="161"/>
      <c r="D211" s="161"/>
      <c r="E211" s="169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</row>
    <row r="212" ht="15.75" customHeight="1">
      <c r="A212" s="161"/>
      <c r="B212" s="161"/>
      <c r="C212" s="161"/>
      <c r="D212" s="161"/>
      <c r="E212" s="169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</row>
    <row r="213" ht="15.75" customHeight="1">
      <c r="A213" s="161"/>
      <c r="B213" s="161"/>
      <c r="C213" s="161"/>
      <c r="D213" s="161"/>
      <c r="E213" s="169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</row>
    <row r="214" ht="15.75" customHeight="1">
      <c r="A214" s="161"/>
      <c r="B214" s="161"/>
      <c r="C214" s="161"/>
      <c r="D214" s="161"/>
      <c r="E214" s="169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</row>
    <row r="215" ht="15.75" customHeight="1">
      <c r="A215" s="161"/>
      <c r="B215" s="161"/>
      <c r="C215" s="161"/>
      <c r="D215" s="161"/>
      <c r="E215" s="169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</row>
    <row r="216" ht="15.75" customHeight="1">
      <c r="A216" s="161"/>
      <c r="B216" s="161"/>
      <c r="C216" s="161"/>
      <c r="D216" s="161"/>
      <c r="E216" s="169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</row>
    <row r="217" ht="15.75" customHeight="1">
      <c r="A217" s="161"/>
      <c r="B217" s="161"/>
      <c r="C217" s="161"/>
      <c r="D217" s="161"/>
      <c r="E217" s="169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</row>
    <row r="218" ht="15.75" customHeight="1">
      <c r="A218" s="161"/>
      <c r="B218" s="161"/>
      <c r="C218" s="161"/>
      <c r="D218" s="161"/>
      <c r="E218" s="169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</row>
    <row r="219" ht="15.75" customHeight="1">
      <c r="A219" s="161"/>
      <c r="B219" s="161"/>
      <c r="C219" s="161"/>
      <c r="D219" s="161"/>
      <c r="E219" s="169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</row>
    <row r="220" ht="15.75" customHeight="1">
      <c r="A220" s="161"/>
      <c r="B220" s="161"/>
      <c r="C220" s="161"/>
      <c r="D220" s="161"/>
      <c r="E220" s="169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</row>
    <row r="221" ht="15.75" customHeight="1">
      <c r="A221" s="161"/>
      <c r="B221" s="161"/>
      <c r="C221" s="161"/>
      <c r="D221" s="161"/>
      <c r="E221" s="169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</row>
    <row r="222" ht="15.75" customHeight="1">
      <c r="A222" s="161"/>
      <c r="B222" s="161"/>
      <c r="C222" s="161"/>
      <c r="D222" s="161"/>
      <c r="E222" s="169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</row>
    <row r="223" ht="15.75" customHeight="1">
      <c r="A223" s="161"/>
      <c r="B223" s="161"/>
      <c r="C223" s="161"/>
      <c r="D223" s="161"/>
      <c r="E223" s="169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</row>
    <row r="224" ht="15.75" customHeight="1">
      <c r="A224" s="161"/>
      <c r="B224" s="161"/>
      <c r="C224" s="161"/>
      <c r="D224" s="161"/>
      <c r="E224" s="169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6">
    <mergeCell ref="A1:B1"/>
    <mergeCell ref="C1:E1"/>
    <mergeCell ref="F1:K1"/>
    <mergeCell ref="L1:T1"/>
    <mergeCell ref="C2:E2"/>
    <mergeCell ref="F2:K2"/>
    <mergeCell ref="L2:T2"/>
    <mergeCell ref="C3:T3"/>
    <mergeCell ref="A2:B2"/>
    <mergeCell ref="A3:B3"/>
    <mergeCell ref="A4:B4"/>
    <mergeCell ref="C4:E4"/>
    <mergeCell ref="F4:K4"/>
    <mergeCell ref="L4:N4"/>
    <mergeCell ref="O4:T4"/>
    <mergeCell ref="A5:B5"/>
    <mergeCell ref="C5:E5"/>
    <mergeCell ref="F5:K5"/>
    <mergeCell ref="O5:T5"/>
    <mergeCell ref="B8:D8"/>
    <mergeCell ref="B9:D9"/>
    <mergeCell ref="B10:D10"/>
    <mergeCell ref="B18:D18"/>
    <mergeCell ref="B19:D19"/>
    <mergeCell ref="B20:D20"/>
    <mergeCell ref="B21:D21"/>
    <mergeCell ref="B22:D22"/>
    <mergeCell ref="B23:D23"/>
    <mergeCell ref="B24:D24"/>
    <mergeCell ref="B11:D11"/>
    <mergeCell ref="B12:D12"/>
    <mergeCell ref="B13:D13"/>
    <mergeCell ref="B14:D14"/>
    <mergeCell ref="B15:D15"/>
    <mergeCell ref="B16:D16"/>
    <mergeCell ref="B17:D17"/>
  </mergeCells>
  <dataValidations>
    <dataValidation type="list" allowBlank="1" showInputMessage="1" showErrorMessage="1" prompt="Click and enter a value from the list of items" sqref="F22:G22 K22:T22">
      <formula1>"P,F"</formula1>
    </dataValidation>
    <dataValidation type="list" allowBlank="1" showInputMessage="1" showErrorMessage="1" prompt=" - " sqref="F8:T20">
      <formula1>"O"</formula1>
    </dataValidation>
    <dataValidation type="list" allowBlank="1" showInputMessage="1" showErrorMessage="1" prompt="Nhấp và nhập một giá trị từ danh sách các mục" sqref="H22:J22">
      <formula1>"P,F,N/A"</formula1>
    </dataValidation>
    <dataValidation type="list" allowBlank="1" showInputMessage="1" showErrorMessage="1" prompt="Click and enter a value from the list of items" sqref="F21:T21">
      <formula1>"A,B,N"</formula1>
    </dataValidation>
  </dataValidations>
  <drawing r:id="rId1"/>
</worksheet>
</file>